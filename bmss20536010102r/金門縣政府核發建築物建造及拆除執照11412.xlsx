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b880\Desktop\儲存更改黨\"/>
    </mc:Choice>
  </mc:AlternateContent>
  <xr:revisionPtr revIDLastSave="0" documentId="8_{1078AFD3-722B-47FB-8205-3220BAD51442}" xr6:coauthVersionLast="47" xr6:coauthVersionMax="47" xr10:uidLastSave="{00000000-0000-0000-0000-000000000000}"/>
  <bookViews>
    <workbookView xWindow="28680" yWindow="-120" windowWidth="29040" windowHeight="15720" xr2:uid="{80C95736-EFFC-407E-9B8E-C3AE56C582DF}"/>
  </bookViews>
  <sheets>
    <sheet name="2354-00-01" sheetId="1" r:id="rId1"/>
  </sheets>
  <definedNames>
    <definedName name="pp">'2354-00-01'!$A$3:$K$56</definedName>
    <definedName name="_xlnm.Print_Area" localSheetId="0">'2354-00-01'!$A$1:$K$54</definedName>
  </definedNames>
  <calcPr calcId="191029"/>
  <webPublishObjects count="1">
    <webPublishObject id="22496" divId="縣市已登記面積筆數_22496" sourceObject="pp" destinationFile="D:\90bbs\bbs01.htm"/>
  </webPublishObject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4" i="1" l="1"/>
  <c r="A52" i="1"/>
  <c r="K45" i="1"/>
  <c r="J45" i="1"/>
  <c r="I45" i="1"/>
  <c r="H45" i="1"/>
  <c r="G45" i="1"/>
  <c r="F45" i="1"/>
  <c r="E45" i="1"/>
  <c r="D45" i="1"/>
  <c r="G20" i="1"/>
  <c r="F20" i="1"/>
  <c r="L4" i="1"/>
  <c r="I40" i="1"/>
  <c r="F40" i="1"/>
  <c r="C40" i="1"/>
  <c r="I39" i="1"/>
  <c r="F39" i="1"/>
  <c r="C39" i="1"/>
  <c r="I38" i="1"/>
  <c r="F38" i="1"/>
  <c r="C38" i="1"/>
  <c r="A6" i="1"/>
  <c r="A5" i="1"/>
  <c r="A53" i="1"/>
</calcChain>
</file>

<file path=xl/sharedStrings.xml><?xml version="1.0" encoding="utf-8"?>
<sst xmlns="http://schemas.openxmlformats.org/spreadsheetml/2006/main" count="63" uniqueCount="55">
  <si>
    <t>建造執照</t>
    <phoneticPr fontId="3" type="noConversion"/>
  </si>
  <si>
    <t>一、用途別</t>
    <phoneticPr fontId="3" type="noConversion"/>
  </si>
  <si>
    <t>件數</t>
    <phoneticPr fontId="3" type="noConversion"/>
  </si>
  <si>
    <t>總樓地板面積</t>
    <phoneticPr fontId="3" type="noConversion"/>
  </si>
  <si>
    <t>二、構造別</t>
    <phoneticPr fontId="3" type="noConversion"/>
  </si>
  <si>
    <t>棟數</t>
    <phoneticPr fontId="3" type="noConversion"/>
  </si>
  <si>
    <t>總樓地板面積</t>
    <phoneticPr fontId="3" type="noConversion"/>
  </si>
  <si>
    <t>拆除執照</t>
    <phoneticPr fontId="3" type="noConversion"/>
  </si>
  <si>
    <t>一、用途別</t>
    <phoneticPr fontId="3" type="noConversion"/>
  </si>
  <si>
    <t>戶數</t>
    <phoneticPr fontId="3" type="noConversion"/>
  </si>
  <si>
    <t>總樓地板面積</t>
    <phoneticPr fontId="3" type="noConversion"/>
  </si>
  <si>
    <t>二、構造別</t>
    <phoneticPr fontId="3" type="noConversion"/>
  </si>
  <si>
    <t>件數</t>
    <phoneticPr fontId="3" type="noConversion"/>
  </si>
  <si>
    <t>棟數</t>
    <phoneticPr fontId="3" type="noConversion"/>
  </si>
  <si>
    <t>總樓地板面積</t>
    <phoneticPr fontId="3" type="noConversion"/>
  </si>
  <si>
    <t>總計</t>
  </si>
  <si>
    <t>農舍(H-2類)</t>
    <phoneticPr fontId="3" type="noConversion"/>
  </si>
  <si>
    <t>住宅(H-2類不含農舍)</t>
    <phoneticPr fontId="3" type="noConversion"/>
  </si>
  <si>
    <t>其　　　他</t>
    <phoneticPr fontId="3" type="noConversion"/>
  </si>
  <si>
    <t>項　目　別</t>
    <phoneticPr fontId="3" type="noConversion"/>
  </si>
  <si>
    <t>項　目　別</t>
    <phoneticPr fontId="3" type="noConversion"/>
  </si>
  <si>
    <t>公共集會類(A類)</t>
    <phoneticPr fontId="3" type="noConversion"/>
  </si>
  <si>
    <t>商業類(B類)</t>
    <phoneticPr fontId="3" type="noConversion"/>
  </si>
  <si>
    <t>工業、倉儲類(C類)</t>
    <phoneticPr fontId="3" type="noConversion"/>
  </si>
  <si>
    <t>休閒、文教類(D類)</t>
    <phoneticPr fontId="3" type="noConversion"/>
  </si>
  <si>
    <t>宗教、殯葬類(E類)</t>
    <phoneticPr fontId="3" type="noConversion"/>
  </si>
  <si>
    <t>衛生、福利、更生類(F類)</t>
    <phoneticPr fontId="3" type="noConversion"/>
  </si>
  <si>
    <t>辦公、服務類(G類)</t>
    <phoneticPr fontId="3" type="noConversion"/>
  </si>
  <si>
    <t>項　目　別</t>
    <phoneticPr fontId="3" type="noConversion"/>
  </si>
  <si>
    <t>住宿類(H類)</t>
    <phoneticPr fontId="3" type="noConversion"/>
  </si>
  <si>
    <t>宿舍安養(H-1類)</t>
    <phoneticPr fontId="3" type="noConversion"/>
  </si>
  <si>
    <t>危險物品類(I類)</t>
    <phoneticPr fontId="3" type="noConversion"/>
  </si>
  <si>
    <t>其他</t>
    <phoneticPr fontId="3" type="noConversion"/>
  </si>
  <si>
    <t>農業設施</t>
    <phoneticPr fontId="3" type="noConversion"/>
  </si>
  <si>
    <t>住　　　　宅</t>
    <phoneticPr fontId="3" type="noConversion"/>
  </si>
  <si>
    <t>總　　　計</t>
    <phoneticPr fontId="3" type="noConversion"/>
  </si>
  <si>
    <t>工程造價</t>
    <phoneticPr fontId="3" type="noConversion"/>
  </si>
  <si>
    <t>民國115年 1月 3日 15:10:43 印製</t>
  </si>
  <si>
    <t>本表編製2份，經陳核後，1份送主計(處)室，1份自存外，資料並經由網際網路報送內政部營建署統計資料庫。</t>
  </si>
  <si>
    <t>磚　　構　　造</t>
  </si>
  <si>
    <t>木　　構　　造</t>
  </si>
  <si>
    <t>鋼　　構　　造</t>
  </si>
  <si>
    <t>混凝土(含鋼筋
混泥土)構造</t>
  </si>
  <si>
    <t>鋼骨鋼筋混
凝土構造</t>
  </si>
  <si>
    <t>冷軋型鋼構造</t>
  </si>
  <si>
    <t>其          他</t>
  </si>
  <si>
    <t>福建省金門縣政府</t>
  </si>
  <si>
    <t>月　　　報</t>
  </si>
  <si>
    <t>每月終了後10日內編送</t>
  </si>
  <si>
    <t>20536-01-01-2</t>
  </si>
  <si>
    <t>金門縣政府核發建築物建造及拆除執照</t>
  </si>
  <si>
    <t>中華民國114年12月</t>
  </si>
  <si>
    <t>依據本機關核發建築物建造執照資料彙編。</t>
  </si>
  <si>
    <t>總          計</t>
  </si>
  <si>
    <t>公　開　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</si>
</sst>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88" formatCode="#,##0.0000;\-#,##0.0000;&quot;－&quot;"/>
    <numFmt numFmtId="193" formatCode="#,##0.000000_);[Red]\(#,##0.000000\)"/>
    <numFmt numFmtId="194" formatCode="###,###,##0;\-###,###,##0;&quot;         －&quot;"/>
    <numFmt numFmtId="195" formatCode="###,###,##0"/>
    <numFmt numFmtId="196" formatCode="##,###,##0;\-##,###,##0;&quot;        －&quot;"/>
    <numFmt numFmtId="197" formatCode="##,###,##0"/>
    <numFmt numFmtId="198" formatCode="#,##0;\-#,##0;&quot;   －&quot;"/>
  </numFmts>
  <fonts count="13">
    <font>
      <sz val="9"/>
      <name val="Times New Roman"/>
      <family val="1"/>
    </font>
    <font>
      <sz val="9"/>
      <name val="Times New Roman"/>
      <family val="1"/>
    </font>
    <font>
      <sz val="12"/>
      <name val="標楷體"/>
      <family val="4"/>
      <charset val="136"/>
    </font>
    <font>
      <sz val="9"/>
      <name val="新細明體"/>
      <family val="1"/>
      <charset val="136"/>
    </font>
    <font>
      <sz val="12"/>
      <name val="Times New Roman"/>
      <family val="1"/>
    </font>
    <font>
      <sz val="24"/>
      <name val="標楷體"/>
      <family val="4"/>
      <charset val="136"/>
    </font>
    <font>
      <sz val="11"/>
      <name val="標楷體"/>
      <family val="4"/>
      <charset val="136"/>
    </font>
    <font>
      <sz val="9"/>
      <name val="標楷體"/>
      <family val="4"/>
      <charset val="136"/>
    </font>
    <font>
      <sz val="10"/>
      <name val="標楷體"/>
      <family val="4"/>
      <charset val="136"/>
    </font>
    <font>
      <sz val="12"/>
      <name val="新細明體"/>
      <family val="1"/>
      <charset val="136"/>
    </font>
    <font>
      <sz val="11"/>
      <name val="新細明體"/>
      <family val="1"/>
      <charset val="136"/>
    </font>
    <font>
      <sz val="10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4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0" fontId="12" fillId="0" borderId="0">
      <alignment vertical="center"/>
    </xf>
    <xf numFmtId="0" fontId="1" fillId="0" borderId="0"/>
    <xf numFmtId="0" fontId="12" fillId="0" borderId="0">
      <alignment vertical="center"/>
    </xf>
  </cellStyleXfs>
  <cellXfs count="150">
    <xf numFmtId="0" fontId="0" fillId="0" borderId="0" xfId="0"/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/>
    <xf numFmtId="0" fontId="0" fillId="0" borderId="0" xfId="0" applyAlignment="1">
      <alignment vertical="center"/>
    </xf>
    <xf numFmtId="0" fontId="2" fillId="0" borderId="0" xfId="0" applyFont="1" applyBorder="1" applyAlignment="1">
      <alignment horizontal="justify" wrapText="1"/>
    </xf>
    <xf numFmtId="0" fontId="2" fillId="0" borderId="0" xfId="0" applyFont="1"/>
    <xf numFmtId="0" fontId="2" fillId="0" borderId="0" xfId="0" applyFont="1" applyBorder="1"/>
    <xf numFmtId="49" fontId="2" fillId="0" borderId="0" xfId="0" applyNumberFormat="1" applyFont="1"/>
    <xf numFmtId="0" fontId="2" fillId="0" borderId="0" xfId="0" applyFont="1" applyAlignment="1">
      <alignment horizontal="left" vertical="top"/>
    </xf>
    <xf numFmtId="0" fontId="0" fillId="0" borderId="0" xfId="0" applyBorder="1" applyAlignment="1">
      <alignment horizontal="justify" wrapText="1"/>
    </xf>
    <xf numFmtId="0" fontId="2" fillId="0" borderId="0" xfId="0" applyFont="1" applyAlignment="1">
      <alignment horizontal="left" vertical="top" wrapText="1"/>
    </xf>
    <xf numFmtId="0" fontId="2" fillId="0" borderId="0" xfId="0" applyNumberFormat="1" applyFont="1" applyBorder="1" applyAlignment="1">
      <alignment horizontal="center" wrapText="1"/>
    </xf>
    <xf numFmtId="0" fontId="2" fillId="0" borderId="0" xfId="0" applyNumberFormat="1" applyFont="1" applyBorder="1" applyAlignment="1">
      <alignment horizontal="left" wrapText="1"/>
    </xf>
    <xf numFmtId="38" fontId="2" fillId="0" borderId="0" xfId="0" applyNumberFormat="1" applyFont="1" applyBorder="1" applyAlignment="1">
      <alignment horizontal="right" vertical="center"/>
    </xf>
    <xf numFmtId="193" fontId="4" fillId="0" borderId="0" xfId="0" applyNumberFormat="1" applyFont="1" applyBorder="1" applyAlignment="1">
      <alignment horizontal="right" vertical="center"/>
    </xf>
    <xf numFmtId="38" fontId="2" fillId="0" borderId="1" xfId="0" applyNumberFormat="1" applyFont="1" applyBorder="1" applyAlignment="1">
      <alignment horizontal="right" vertical="center"/>
    </xf>
    <xf numFmtId="188" fontId="2" fillId="0" borderId="0" xfId="0" applyNumberFormat="1" applyFont="1" applyBorder="1" applyAlignment="1">
      <alignment horizontal="left"/>
    </xf>
    <xf numFmtId="0" fontId="2" fillId="0" borderId="0" xfId="0" applyFont="1" applyBorder="1" applyAlignment="1">
      <alignment horizontal="center" vertical="center" wrapText="1"/>
    </xf>
    <xf numFmtId="188" fontId="2" fillId="0" borderId="0" xfId="0" applyNumberFormat="1" applyFont="1" applyBorder="1" applyAlignment="1">
      <alignment horizontal="distributed" vertical="center"/>
    </xf>
    <xf numFmtId="193" fontId="4" fillId="0" borderId="0" xfId="0" applyNumberFormat="1" applyFont="1" applyBorder="1" applyAlignment="1">
      <alignment horizontal="center" vertical="center"/>
    </xf>
    <xf numFmtId="38" fontId="2" fillId="0" borderId="0" xfId="0" applyNumberFormat="1" applyFont="1" applyBorder="1" applyAlignment="1">
      <alignment horizontal="center" vertical="center"/>
    </xf>
    <xf numFmtId="0" fontId="0" fillId="0" borderId="0" xfId="0" applyBorder="1" applyAlignment="1">
      <alignment horizontal="right" vertical="center"/>
    </xf>
    <xf numFmtId="188" fontId="2" fillId="0" borderId="0" xfId="0" applyNumberFormat="1" applyFont="1" applyBorder="1" applyAlignment="1">
      <alignment horizontal="center" vertical="center"/>
    </xf>
    <xf numFmtId="188" fontId="2" fillId="0" borderId="1" xfId="0" applyNumberFormat="1" applyFont="1" applyBorder="1" applyAlignment="1"/>
    <xf numFmtId="188" fontId="2" fillId="0" borderId="0" xfId="0" applyNumberFormat="1" applyFont="1" applyBorder="1" applyAlignment="1"/>
    <xf numFmtId="188" fontId="2" fillId="0" borderId="1" xfId="0" applyNumberFormat="1" applyFont="1" applyBorder="1" applyAlignment="1">
      <alignment horizontal="left"/>
    </xf>
    <xf numFmtId="0" fontId="6" fillId="0" borderId="2" xfId="0" applyNumberFormat="1" applyFont="1" applyBorder="1" applyAlignment="1">
      <alignment horizontal="center" vertical="center" wrapText="1"/>
    </xf>
    <xf numFmtId="193" fontId="2" fillId="0" borderId="3" xfId="0" applyNumberFormat="1" applyFont="1" applyBorder="1" applyAlignment="1">
      <alignment horizontal="center" vertical="center"/>
    </xf>
    <xf numFmtId="193" fontId="7" fillId="0" borderId="3" xfId="0" applyNumberFormat="1" applyFont="1" applyBorder="1" applyAlignment="1">
      <alignment horizontal="center" vertical="center"/>
    </xf>
    <xf numFmtId="193" fontId="2" fillId="0" borderId="4" xfId="0" applyNumberFormat="1" applyFont="1" applyBorder="1" applyAlignment="1">
      <alignment horizontal="center" vertical="center"/>
    </xf>
    <xf numFmtId="38" fontId="6" fillId="0" borderId="5" xfId="0" applyNumberFormat="1" applyFont="1" applyBorder="1" applyAlignment="1">
      <alignment horizontal="center" vertical="center" wrapText="1"/>
    </xf>
    <xf numFmtId="0" fontId="6" fillId="0" borderId="5" xfId="0" applyNumberFormat="1" applyFont="1" applyBorder="1" applyAlignment="1">
      <alignment horizontal="center" vertical="center" wrapText="1"/>
    </xf>
    <xf numFmtId="38" fontId="6" fillId="0" borderId="6" xfId="0" applyNumberFormat="1" applyFont="1" applyBorder="1" applyAlignment="1">
      <alignment horizontal="center" vertical="center" wrapText="1"/>
    </xf>
    <xf numFmtId="193" fontId="8" fillId="0" borderId="7" xfId="0" applyNumberFormat="1" applyFont="1" applyBorder="1" applyAlignment="1">
      <alignment horizontal="center" vertical="center"/>
    </xf>
    <xf numFmtId="194" fontId="10" fillId="0" borderId="41" xfId="0" applyNumberFormat="1" applyFont="1" applyBorder="1" applyAlignment="1">
      <alignment horizontal="right" vertical="center" wrapText="1"/>
    </xf>
    <xf numFmtId="194" fontId="10" fillId="0" borderId="42" xfId="0" applyNumberFormat="1" applyFont="1" applyBorder="1" applyAlignment="1">
      <alignment horizontal="right" vertical="center" wrapText="1"/>
    </xf>
    <xf numFmtId="194" fontId="10" fillId="0" borderId="15" xfId="0" applyNumberFormat="1" applyFont="1" applyBorder="1" applyAlignment="1">
      <alignment horizontal="right" vertical="center" wrapText="1"/>
    </xf>
    <xf numFmtId="194" fontId="10" fillId="0" borderId="43" xfId="0" applyNumberFormat="1" applyFont="1" applyBorder="1" applyAlignment="1">
      <alignment horizontal="right" vertical="center" wrapText="1"/>
    </xf>
    <xf numFmtId="194" fontId="10" fillId="0" borderId="44" xfId="0" applyNumberFormat="1" applyFont="1" applyBorder="1" applyAlignment="1">
      <alignment horizontal="right" vertical="center" wrapText="1"/>
    </xf>
    <xf numFmtId="194" fontId="10" fillId="0" borderId="17" xfId="0" applyNumberFormat="1" applyFont="1" applyBorder="1" applyAlignment="1">
      <alignment horizontal="right" vertical="center" wrapText="1"/>
    </xf>
    <xf numFmtId="194" fontId="10" fillId="0" borderId="45" xfId="0" applyNumberFormat="1" applyFont="1" applyBorder="1" applyAlignment="1">
      <alignment horizontal="right" vertical="center" wrapText="1"/>
    </xf>
    <xf numFmtId="194" fontId="10" fillId="0" borderId="46" xfId="0" applyNumberFormat="1" applyFont="1" applyBorder="1" applyAlignment="1">
      <alignment horizontal="right" vertical="center" wrapText="1"/>
    </xf>
    <xf numFmtId="194" fontId="10" fillId="0" borderId="19" xfId="0" applyNumberFormat="1" applyFont="1" applyBorder="1" applyAlignment="1">
      <alignment horizontal="right" vertical="center" wrapText="1"/>
    </xf>
    <xf numFmtId="194" fontId="10" fillId="0" borderId="0" xfId="0" applyNumberFormat="1" applyFont="1" applyBorder="1" applyAlignment="1">
      <alignment horizontal="right" vertical="center"/>
    </xf>
    <xf numFmtId="195" fontId="10" fillId="0" borderId="10" xfId="0" applyNumberFormat="1" applyFont="1" applyBorder="1" applyAlignment="1">
      <alignment horizontal="right" vertical="center" wrapText="1"/>
    </xf>
    <xf numFmtId="195" fontId="10" fillId="0" borderId="42" xfId="0" applyNumberFormat="1" applyFont="1" applyBorder="1" applyAlignment="1">
      <alignment horizontal="right" vertical="center" wrapText="1"/>
    </xf>
    <xf numFmtId="195" fontId="10" fillId="0" borderId="12" xfId="0" applyNumberFormat="1" applyFont="1" applyBorder="1" applyAlignment="1">
      <alignment horizontal="right" vertical="center" wrapText="1"/>
    </xf>
    <xf numFmtId="195" fontId="10" fillId="0" borderId="44" xfId="0" applyNumberFormat="1" applyFont="1" applyBorder="1" applyAlignment="1">
      <alignment horizontal="right" vertical="center" wrapText="1"/>
    </xf>
    <xf numFmtId="195" fontId="10" fillId="0" borderId="14" xfId="0" applyNumberFormat="1" applyFont="1" applyBorder="1" applyAlignment="1">
      <alignment horizontal="right" vertical="center" wrapText="1"/>
    </xf>
    <xf numFmtId="195" fontId="10" fillId="0" borderId="46" xfId="0" applyNumberFormat="1" applyFont="1" applyBorder="1" applyAlignment="1">
      <alignment horizontal="right" vertical="center" wrapText="1"/>
    </xf>
    <xf numFmtId="38" fontId="8" fillId="0" borderId="38" xfId="0" applyNumberFormat="1" applyFont="1" applyBorder="1" applyAlignment="1">
      <alignment horizontal="center" vertical="center" wrapText="1"/>
    </xf>
    <xf numFmtId="38" fontId="8" fillId="0" borderId="5" xfId="0" applyNumberFormat="1" applyFont="1" applyBorder="1" applyAlignment="1">
      <alignment horizontal="center" vertical="center" wrapText="1"/>
    </xf>
    <xf numFmtId="0" fontId="8" fillId="0" borderId="5" xfId="0" applyNumberFormat="1" applyFont="1" applyBorder="1" applyAlignment="1">
      <alignment horizontal="center" vertical="center" wrapText="1"/>
    </xf>
    <xf numFmtId="0" fontId="8" fillId="0" borderId="2" xfId="0" applyNumberFormat="1" applyFont="1" applyBorder="1" applyAlignment="1">
      <alignment horizontal="center" vertical="center" wrapText="1"/>
    </xf>
    <xf numFmtId="196" fontId="11" fillId="0" borderId="4" xfId="0" applyNumberFormat="1" applyFont="1" applyBorder="1" applyAlignment="1">
      <alignment horizontal="right" vertical="center"/>
    </xf>
    <xf numFmtId="197" fontId="11" fillId="0" borderId="31" xfId="0" applyNumberFormat="1" applyFont="1" applyBorder="1" applyAlignment="1">
      <alignment horizontal="right" vertical="center"/>
    </xf>
    <xf numFmtId="196" fontId="11" fillId="0" borderId="31" xfId="0" applyNumberFormat="1" applyFont="1" applyBorder="1" applyAlignment="1">
      <alignment horizontal="right" vertical="center"/>
    </xf>
    <xf numFmtId="196" fontId="11" fillId="0" borderId="13" xfId="0" applyNumberFormat="1" applyFont="1" applyBorder="1" applyAlignment="1">
      <alignment horizontal="right" vertical="center"/>
    </xf>
    <xf numFmtId="197" fontId="11" fillId="0" borderId="44" xfId="0" applyNumberFormat="1" applyFont="1" applyBorder="1" applyAlignment="1">
      <alignment horizontal="right" vertical="center"/>
    </xf>
    <xf numFmtId="196" fontId="11" fillId="0" borderId="44" xfId="0" applyNumberFormat="1" applyFont="1" applyBorder="1" applyAlignment="1">
      <alignment horizontal="right" vertical="center"/>
    </xf>
    <xf numFmtId="196" fontId="11" fillId="0" borderId="1" xfId="0" applyNumberFormat="1" applyFont="1" applyBorder="1" applyAlignment="1">
      <alignment horizontal="right" vertical="center"/>
    </xf>
    <xf numFmtId="197" fontId="11" fillId="0" borderId="32" xfId="0" applyNumberFormat="1" applyFont="1" applyBorder="1" applyAlignment="1">
      <alignment horizontal="right" vertical="center"/>
    </xf>
    <xf numFmtId="196" fontId="11" fillId="0" borderId="32" xfId="0" applyNumberFormat="1" applyFont="1" applyBorder="1" applyAlignment="1">
      <alignment horizontal="right" vertical="center"/>
    </xf>
    <xf numFmtId="3" fontId="3" fillId="0" borderId="0" xfId="0" applyNumberFormat="1" applyFont="1" applyAlignment="1">
      <alignment horizontal="center" vertical="center"/>
    </xf>
    <xf numFmtId="198" fontId="3" fillId="0" borderId="0" xfId="0" applyNumberFormat="1" applyFont="1" applyAlignment="1">
      <alignment horizontal="center" vertical="center"/>
    </xf>
    <xf numFmtId="197" fontId="11" fillId="0" borderId="25" xfId="0" applyNumberFormat="1" applyFont="1" applyBorder="1" applyAlignment="1">
      <alignment horizontal="right" vertical="center" wrapText="1"/>
    </xf>
    <xf numFmtId="196" fontId="11" fillId="0" borderId="31" xfId="0" applyNumberFormat="1" applyFont="1" applyBorder="1" applyAlignment="1">
      <alignment horizontal="right" vertical="center" wrapText="1"/>
    </xf>
    <xf numFmtId="197" fontId="11" fillId="0" borderId="31" xfId="0" applyNumberFormat="1" applyFont="1" applyBorder="1" applyAlignment="1">
      <alignment horizontal="right" vertical="center" wrapText="1"/>
    </xf>
    <xf numFmtId="197" fontId="11" fillId="0" borderId="18" xfId="0" applyNumberFormat="1" applyFont="1" applyBorder="1" applyAlignment="1">
      <alignment horizontal="right" vertical="center" wrapText="1"/>
    </xf>
    <xf numFmtId="196" fontId="11" fillId="0" borderId="44" xfId="0" applyNumberFormat="1" applyFont="1" applyBorder="1" applyAlignment="1">
      <alignment horizontal="right" vertical="center" wrapText="1"/>
    </xf>
    <xf numFmtId="197" fontId="11" fillId="0" borderId="44" xfId="0" applyNumberFormat="1" applyFont="1" applyBorder="1" applyAlignment="1">
      <alignment horizontal="right" vertical="center" wrapText="1"/>
    </xf>
    <xf numFmtId="197" fontId="11" fillId="0" borderId="47" xfId="0" applyNumberFormat="1" applyFont="1" applyBorder="1" applyAlignment="1">
      <alignment horizontal="right" vertical="center" wrapText="1"/>
    </xf>
    <xf numFmtId="196" fontId="11" fillId="0" borderId="32" xfId="0" applyNumberFormat="1" applyFont="1" applyBorder="1" applyAlignment="1">
      <alignment horizontal="right" vertical="center" wrapText="1"/>
    </xf>
    <xf numFmtId="197" fontId="11" fillId="0" borderId="32" xfId="0" applyNumberFormat="1" applyFont="1" applyBorder="1" applyAlignment="1">
      <alignment horizontal="right" vertical="center" wrapText="1"/>
    </xf>
    <xf numFmtId="0" fontId="9" fillId="0" borderId="0" xfId="0" applyFont="1" applyBorder="1"/>
    <xf numFmtId="0" fontId="5" fillId="0" borderId="0" xfId="0" applyFont="1"/>
    <xf numFmtId="196" fontId="11" fillId="0" borderId="15" xfId="0" applyNumberFormat="1" applyFont="1" applyBorder="1" applyAlignment="1">
      <alignment horizontal="right" vertical="center"/>
    </xf>
    <xf numFmtId="193" fontId="4" fillId="0" borderId="11" xfId="0" applyNumberFormat="1" applyFont="1" applyBorder="1" applyAlignment="1">
      <alignment horizontal="right" vertical="center"/>
    </xf>
    <xf numFmtId="196" fontId="11" fillId="0" borderId="17" xfId="0" applyNumberFormat="1" applyFont="1" applyBorder="1" applyAlignment="1">
      <alignment horizontal="right" vertical="center"/>
    </xf>
    <xf numFmtId="193" fontId="4" fillId="0" borderId="13" xfId="0" applyNumberFormat="1" applyFont="1" applyBorder="1" applyAlignment="1">
      <alignment horizontal="right" vertical="center"/>
    </xf>
    <xf numFmtId="196" fontId="11" fillId="0" borderId="19" xfId="0" applyNumberFormat="1" applyFont="1" applyBorder="1" applyAlignment="1">
      <alignment horizontal="right" vertical="center"/>
    </xf>
    <xf numFmtId="193" fontId="4" fillId="0" borderId="8" xfId="0" applyNumberFormat="1" applyFont="1" applyBorder="1" applyAlignment="1">
      <alignment horizontal="right" vertical="center"/>
    </xf>
    <xf numFmtId="0" fontId="2" fillId="0" borderId="0" xfId="0" applyFont="1" applyAlignment="1">
      <alignment horizontal="left" vertical="top"/>
    </xf>
    <xf numFmtId="0" fontId="2" fillId="0" borderId="0" xfId="0" applyFont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0" fontId="2" fillId="0" borderId="0" xfId="0" applyNumberFormat="1" applyFont="1" applyBorder="1" applyAlignment="1">
      <alignment horizontal="center" wrapText="1"/>
    </xf>
    <xf numFmtId="0" fontId="2" fillId="0" borderId="0" xfId="0" applyFont="1" applyBorder="1" applyAlignment="1">
      <alignment horizontal="left" vertical="top" wrapText="1"/>
    </xf>
    <xf numFmtId="188" fontId="2" fillId="0" borderId="13" xfId="0" applyNumberFormat="1" applyFont="1" applyBorder="1" applyAlignment="1">
      <alignment horizontal="distributed" vertical="center"/>
    </xf>
    <xf numFmtId="188" fontId="2" fillId="0" borderId="22" xfId="0" applyNumberFormat="1" applyFont="1" applyBorder="1" applyAlignment="1">
      <alignment horizontal="distributed" vertical="center"/>
    </xf>
    <xf numFmtId="188" fontId="2" fillId="0" borderId="8" xfId="0" applyNumberFormat="1" applyFont="1" applyBorder="1" applyAlignment="1">
      <alignment horizontal="distributed" vertical="center"/>
    </xf>
    <xf numFmtId="188" fontId="2" fillId="0" borderId="9" xfId="0" applyNumberFormat="1" applyFont="1" applyBorder="1" applyAlignment="1">
      <alignment horizontal="distributed" vertical="center"/>
    </xf>
    <xf numFmtId="0" fontId="2" fillId="0" borderId="0" xfId="0" applyFont="1" applyAlignment="1">
      <alignment horizontal="left"/>
    </xf>
    <xf numFmtId="188" fontId="6" fillId="0" borderId="38" xfId="0" applyNumberFormat="1" applyFont="1" applyBorder="1" applyAlignment="1">
      <alignment horizontal="center" vertical="center"/>
    </xf>
    <xf numFmtId="188" fontId="6" fillId="0" borderId="39" xfId="0" applyNumberFormat="1" applyFont="1" applyBorder="1" applyAlignment="1">
      <alignment horizontal="center" vertical="center"/>
    </xf>
    <xf numFmtId="188" fontId="2" fillId="0" borderId="11" xfId="0" applyNumberFormat="1" applyFont="1" applyBorder="1" applyAlignment="1">
      <alignment horizontal="distributed" vertical="center"/>
    </xf>
    <xf numFmtId="188" fontId="2" fillId="0" borderId="29" xfId="0" applyNumberFormat="1" applyFont="1" applyBorder="1" applyAlignment="1">
      <alignment horizontal="distributed" vertical="center"/>
    </xf>
    <xf numFmtId="38" fontId="6" fillId="0" borderId="38" xfId="0" applyNumberFormat="1" applyFont="1" applyBorder="1" applyAlignment="1">
      <alignment horizontal="center" vertical="center"/>
    </xf>
    <xf numFmtId="0" fontId="6" fillId="0" borderId="38" xfId="0" applyFont="1" applyBorder="1" applyAlignment="1">
      <alignment horizontal="center" vertical="center"/>
    </xf>
    <xf numFmtId="38" fontId="6" fillId="0" borderId="2" xfId="0" applyNumberFormat="1" applyFont="1" applyBorder="1" applyAlignment="1">
      <alignment horizontal="center" vertical="center"/>
    </xf>
    <xf numFmtId="38" fontId="6" fillId="0" borderId="40" xfId="0" applyNumberFormat="1" applyFont="1" applyBorder="1" applyAlignment="1">
      <alignment horizontal="center" vertical="center"/>
    </xf>
    <xf numFmtId="38" fontId="4" fillId="0" borderId="11" xfId="0" applyNumberFormat="1" applyFont="1" applyFill="1" applyBorder="1" applyAlignment="1">
      <alignment horizontal="right" vertical="center" wrapText="1"/>
    </xf>
    <xf numFmtId="38" fontId="4" fillId="0" borderId="13" xfId="0" applyNumberFormat="1" applyFont="1" applyBorder="1" applyAlignment="1">
      <alignment horizontal="right" vertical="center" wrapText="1"/>
    </xf>
    <xf numFmtId="0" fontId="6" fillId="0" borderId="31" xfId="1" applyFont="1" applyBorder="1" applyAlignment="1">
      <alignment horizontal="center" vertical="center" wrapText="1"/>
    </xf>
    <xf numFmtId="0" fontId="6" fillId="0" borderId="7" xfId="1" applyFont="1" applyBorder="1" applyAlignment="1">
      <alignment horizontal="center" vertical="center" wrapText="1"/>
    </xf>
    <xf numFmtId="193" fontId="2" fillId="0" borderId="31" xfId="0" applyNumberFormat="1" applyFont="1" applyBorder="1" applyAlignment="1">
      <alignment horizontal="center" vertical="center"/>
    </xf>
    <xf numFmtId="193" fontId="2" fillId="0" borderId="7" xfId="0" applyNumberFormat="1" applyFont="1" applyBorder="1" applyAlignment="1">
      <alignment horizontal="center" vertical="center"/>
    </xf>
    <xf numFmtId="193" fontId="2" fillId="0" borderId="32" xfId="0" applyNumberFormat="1" applyFont="1" applyBorder="1" applyAlignment="1">
      <alignment horizontal="center" vertical="center"/>
    </xf>
    <xf numFmtId="193" fontId="2" fillId="0" borderId="33" xfId="0" applyNumberFormat="1" applyFont="1" applyBorder="1" applyAlignment="1">
      <alignment horizontal="center" vertical="center"/>
    </xf>
    <xf numFmtId="193" fontId="2" fillId="0" borderId="34" xfId="0" applyNumberFormat="1" applyFont="1" applyBorder="1" applyAlignment="1">
      <alignment horizontal="center" vertical="center"/>
    </xf>
    <xf numFmtId="193" fontId="2" fillId="0" borderId="35" xfId="0" applyNumberFormat="1" applyFont="1" applyBorder="1" applyAlignment="1">
      <alignment horizontal="center" vertical="center"/>
    </xf>
    <xf numFmtId="193" fontId="2" fillId="0" borderId="36" xfId="0" applyNumberFormat="1" applyFont="1" applyBorder="1" applyAlignment="1">
      <alignment horizontal="center" vertical="center"/>
    </xf>
    <xf numFmtId="193" fontId="2" fillId="0" borderId="37" xfId="0" applyNumberFormat="1" applyFont="1" applyBorder="1" applyAlignment="1">
      <alignment horizontal="center" vertical="center"/>
    </xf>
    <xf numFmtId="193" fontId="2" fillId="0" borderId="1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distributed" vertical="center" wrapText="1"/>
    </xf>
    <xf numFmtId="0" fontId="2" fillId="0" borderId="29" xfId="0" applyFont="1" applyBorder="1" applyAlignment="1">
      <alignment horizontal="distributed" vertical="center" wrapText="1"/>
    </xf>
    <xf numFmtId="0" fontId="6" fillId="0" borderId="25" xfId="1" applyFont="1" applyBorder="1" applyAlignment="1">
      <alignment horizontal="center" vertical="center" wrapText="1"/>
    </xf>
    <xf numFmtId="0" fontId="6" fillId="0" borderId="30" xfId="1" applyFont="1" applyBorder="1" applyAlignment="1">
      <alignment horizontal="center" vertical="center" wrapText="1"/>
    </xf>
    <xf numFmtId="188" fontId="2" fillId="0" borderId="1" xfId="0" applyNumberFormat="1" applyFont="1" applyBorder="1" applyAlignment="1">
      <alignment horizontal="distributed" vertical="center"/>
    </xf>
    <xf numFmtId="188" fontId="2" fillId="0" borderId="21" xfId="0" applyNumberFormat="1" applyFont="1" applyBorder="1" applyAlignment="1">
      <alignment horizontal="distributed" vertical="center"/>
    </xf>
    <xf numFmtId="0" fontId="2" fillId="0" borderId="13" xfId="0" applyFont="1" applyBorder="1" applyAlignment="1">
      <alignment horizontal="distributed" vertical="center" wrapText="1"/>
    </xf>
    <xf numFmtId="0" fontId="2" fillId="0" borderId="22" xfId="0" applyFont="1" applyBorder="1" applyAlignment="1">
      <alignment horizontal="distributed" vertical="center" wrapText="1"/>
    </xf>
    <xf numFmtId="188" fontId="2" fillId="0" borderId="23" xfId="0" applyNumberFormat="1" applyFont="1" applyBorder="1" applyAlignment="1">
      <alignment horizontal="distributed" vertical="center"/>
    </xf>
    <xf numFmtId="38" fontId="2" fillId="0" borderId="24" xfId="0" applyNumberFormat="1" applyFont="1" applyBorder="1" applyAlignment="1">
      <alignment horizontal="center" vertical="center"/>
    </xf>
    <xf numFmtId="38" fontId="2" fillId="0" borderId="4" xfId="0" applyNumberFormat="1" applyFont="1" applyBorder="1" applyAlignment="1">
      <alignment horizontal="center" vertical="center"/>
    </xf>
    <xf numFmtId="38" fontId="2" fillId="0" borderId="25" xfId="0" applyNumberFormat="1" applyFont="1" applyBorder="1" applyAlignment="1">
      <alignment horizontal="center" vertical="center"/>
    </xf>
    <xf numFmtId="38" fontId="2" fillId="0" borderId="26" xfId="0" applyNumberFormat="1" applyFont="1" applyBorder="1" applyAlignment="1">
      <alignment horizontal="center" vertical="center" wrapText="1"/>
    </xf>
    <xf numFmtId="38" fontId="2" fillId="0" borderId="27" xfId="0" applyNumberFormat="1" applyFont="1" applyBorder="1" applyAlignment="1">
      <alignment horizontal="center" vertical="center" wrapText="1"/>
    </xf>
    <xf numFmtId="188" fontId="2" fillId="0" borderId="4" xfId="0" applyNumberFormat="1" applyFont="1" applyBorder="1" applyAlignment="1">
      <alignment horizontal="center" vertical="center"/>
    </xf>
    <xf numFmtId="188" fontId="2" fillId="0" borderId="23" xfId="0" applyNumberFormat="1" applyFont="1" applyBorder="1" applyAlignment="1">
      <alignment horizontal="center" vertical="center"/>
    </xf>
    <xf numFmtId="188" fontId="2" fillId="0" borderId="0" xfId="0" applyNumberFormat="1" applyFont="1" applyBorder="1" applyAlignment="1">
      <alignment horizontal="center" vertical="center"/>
    </xf>
    <xf numFmtId="188" fontId="2" fillId="0" borderId="28" xfId="0" applyNumberFormat="1" applyFont="1" applyBorder="1" applyAlignment="1">
      <alignment horizontal="center" vertical="center"/>
    </xf>
    <xf numFmtId="188" fontId="2" fillId="0" borderId="1" xfId="0" applyNumberFormat="1" applyFont="1" applyBorder="1" applyAlignment="1">
      <alignment horizontal="center" vertical="center"/>
    </xf>
    <xf numFmtId="188" fontId="2" fillId="0" borderId="21" xfId="0" applyNumberFormat="1" applyFont="1" applyBorder="1" applyAlignment="1">
      <alignment horizontal="center" vertical="center"/>
    </xf>
    <xf numFmtId="38" fontId="4" fillId="0" borderId="8" xfId="0" applyNumberFormat="1" applyFont="1" applyBorder="1" applyAlignment="1">
      <alignment horizontal="right" vertical="center" wrapText="1"/>
    </xf>
    <xf numFmtId="38" fontId="2" fillId="0" borderId="10" xfId="0" applyNumberFormat="1" applyFont="1" applyBorder="1" applyAlignment="1">
      <alignment horizontal="right" vertical="center" wrapText="1"/>
    </xf>
    <xf numFmtId="38" fontId="2" fillId="0" borderId="11" xfId="0" applyNumberFormat="1" applyFont="1" applyBorder="1" applyAlignment="1">
      <alignment horizontal="right" vertical="center" wrapText="1"/>
    </xf>
    <xf numFmtId="38" fontId="2" fillId="0" borderId="12" xfId="0" applyNumberFormat="1" applyFont="1" applyBorder="1" applyAlignment="1">
      <alignment horizontal="right" vertical="center" wrapText="1"/>
    </xf>
    <xf numFmtId="38" fontId="2" fillId="0" borderId="13" xfId="0" applyNumberFormat="1" applyFont="1" applyBorder="1" applyAlignment="1">
      <alignment horizontal="right" vertical="center" wrapText="1"/>
    </xf>
    <xf numFmtId="38" fontId="2" fillId="0" borderId="14" xfId="0" applyNumberFormat="1" applyFont="1" applyBorder="1" applyAlignment="1">
      <alignment horizontal="right" vertical="center" wrapText="1"/>
    </xf>
    <xf numFmtId="38" fontId="2" fillId="0" borderId="8" xfId="0" applyNumberFormat="1" applyFont="1" applyBorder="1" applyAlignment="1">
      <alignment horizontal="right" vertical="center" wrapText="1"/>
    </xf>
    <xf numFmtId="38" fontId="2" fillId="0" borderId="15" xfId="0" applyNumberFormat="1" applyFont="1" applyBorder="1" applyAlignment="1">
      <alignment horizontal="right" vertical="center" wrapText="1"/>
    </xf>
    <xf numFmtId="38" fontId="2" fillId="0" borderId="16" xfId="0" applyNumberFormat="1" applyFont="1" applyBorder="1" applyAlignment="1">
      <alignment horizontal="right" vertical="center" wrapText="1"/>
    </xf>
    <xf numFmtId="38" fontId="2" fillId="0" borderId="17" xfId="0" applyNumberFormat="1" applyFont="1" applyBorder="1" applyAlignment="1">
      <alignment horizontal="right" vertical="center" wrapText="1"/>
    </xf>
    <xf numFmtId="38" fontId="2" fillId="0" borderId="18" xfId="0" applyNumberFormat="1" applyFont="1" applyBorder="1" applyAlignment="1">
      <alignment horizontal="right" vertical="center" wrapText="1"/>
    </xf>
    <xf numFmtId="38" fontId="2" fillId="0" borderId="19" xfId="0" applyNumberFormat="1" applyFont="1" applyBorder="1" applyAlignment="1">
      <alignment horizontal="right" vertical="center" wrapText="1"/>
    </xf>
    <xf numFmtId="38" fontId="2" fillId="0" borderId="20" xfId="0" applyNumberFormat="1" applyFont="1" applyBorder="1" applyAlignment="1">
      <alignment horizontal="right" vertical="center" wrapText="1"/>
    </xf>
  </cellXfs>
  <cellStyles count="5">
    <cellStyle name="一般" xfId="0" builtinId="0"/>
    <cellStyle name="一般 2" xfId="1" xr:uid="{129D34DD-B763-437D-AE6A-0AED6983CCEE}"/>
    <cellStyle name="一般 3" xfId="2" xr:uid="{4D865CE3-F560-46C8-A647-DE6273693531}"/>
    <cellStyle name="一般 4" xfId="3" xr:uid="{404E516D-E789-414C-99EC-4BC52C605F17}"/>
    <cellStyle name="一般 5" xfId="4" xr:uid="{64216798-0E9B-445B-8151-7ACD2823DDB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23</xdr:row>
      <xdr:rowOff>0</xdr:rowOff>
    </xdr:from>
    <xdr:to>
      <xdr:col>8</xdr:col>
      <xdr:colOff>0</xdr:colOff>
      <xdr:row>23</xdr:row>
      <xdr:rowOff>0</xdr:rowOff>
    </xdr:to>
    <xdr:sp macro="" textlink="">
      <xdr:nvSpPr>
        <xdr:cNvPr id="1026" name="Text Box 2">
          <a:extLst>
            <a:ext uri="{FF2B5EF4-FFF2-40B4-BE49-F238E27FC236}">
              <a16:creationId xmlns:a16="http://schemas.microsoft.com/office/drawing/2014/main" id="{753C5098-B22E-4E8A-BBDE-071743FB4474}"/>
            </a:ext>
          </a:extLst>
        </xdr:cNvPr>
        <xdr:cNvSpPr txBox="1">
          <a:spLocks noChangeArrowheads="1"/>
        </xdr:cNvSpPr>
      </xdr:nvSpPr>
      <xdr:spPr bwMode="auto">
        <a:xfrm>
          <a:off x="2676525" y="2828925"/>
          <a:ext cx="4953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zh-TW" altLang="en-US" sz="1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 editAs="oneCell">
    <xdr:from>
      <xdr:col>0</xdr:col>
      <xdr:colOff>952080</xdr:colOff>
      <xdr:row>3</xdr:row>
      <xdr:rowOff>10578</xdr:rowOff>
    </xdr:from>
    <xdr:to>
      <xdr:col>8</xdr:col>
      <xdr:colOff>908047</xdr:colOff>
      <xdr:row>4</xdr:row>
      <xdr:rowOff>29744</xdr:rowOff>
    </xdr:to>
    <xdr:sp macro="" textlink="D1">
      <xdr:nvSpPr>
        <xdr:cNvPr id="1054" name="報表類別">
          <a:extLst>
            <a:ext uri="{FF2B5EF4-FFF2-40B4-BE49-F238E27FC236}">
              <a16:creationId xmlns:a16="http://schemas.microsoft.com/office/drawing/2014/main" id="{D6858DFA-E0C1-4873-9CCF-F46F3506CA78}"/>
            </a:ext>
          </a:extLst>
        </xdr:cNvPr>
        <xdr:cNvSpPr>
          <a:spLocks noChangeArrowheads="1" noTextEdit="1"/>
        </xdr:cNvSpPr>
      </xdr:nvSpPr>
      <xdr:spPr bwMode="auto">
        <a:xfrm>
          <a:off x="952080" y="243411"/>
          <a:ext cx="9861967" cy="252000"/>
        </a:xfrm>
        <a:prstGeom prst="rect">
          <a:avLst/>
        </a:prstGeom>
        <a:solidFill>
          <a:srgbClr val="FFFFFF"/>
        </a:solidFill>
        <a:ln w="19050">
          <a:noFill/>
          <a:miter lim="800000"/>
          <a:headEnd/>
          <a:tailEnd/>
        </a:ln>
      </xdr:spPr>
      <xdr:txBody>
        <a:bodyPr/>
        <a:lstStyle/>
        <a:p>
          <a:fld id="{BB2302BD-0F62-4311-B22A-93F26B9953AC}" type="TxLink">
            <a:rPr lang="en-US" altLang="en-US" sz="1200" b="0" i="0" u="none" strike="noStrike">
              <a:solidFill>
                <a:srgbClr val="000000"/>
              </a:solidFill>
              <a:latin typeface="標楷體"/>
              <a:ea typeface="標楷體"/>
            </a:rPr>
            <a:t>每月終了後10日內編送</a:t>
          </a:fld>
          <a:endParaRPr lang="zh-TW" altLang="en-US"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919724</xdr:colOff>
      <xdr:row>3</xdr:row>
      <xdr:rowOff>19167</xdr:rowOff>
    </xdr:to>
    <xdr:sp macro="" textlink="A1">
      <xdr:nvSpPr>
        <xdr:cNvPr id="1052" name="報表類別">
          <a:extLst>
            <a:ext uri="{FF2B5EF4-FFF2-40B4-BE49-F238E27FC236}">
              <a16:creationId xmlns:a16="http://schemas.microsoft.com/office/drawing/2014/main" id="{9E9A16CC-DAD8-4587-8CDD-62AD4A999B61}"/>
            </a:ext>
          </a:extLst>
        </xdr:cNvPr>
        <xdr:cNvSpPr>
          <a:spLocks noChangeArrowheads="1" noTextEdit="1"/>
        </xdr:cNvSpPr>
      </xdr:nvSpPr>
      <xdr:spPr bwMode="auto">
        <a:xfrm>
          <a:off x="0" y="0"/>
          <a:ext cx="919724" cy="252000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fld id="{2D526713-A831-4C80-A62D-E0BB506BBE37}" type="TxLink">
            <a:rPr lang="en-US" altLang="en-US" sz="1200" b="0" i="0" u="none" strike="noStrike" baseline="0">
              <a:solidFill>
                <a:srgbClr val="000000"/>
              </a:solidFill>
              <a:latin typeface="Times New Roman"/>
              <a:ea typeface="標楷體"/>
              <a:cs typeface="Times New Roman"/>
            </a:rPr>
            <a:t>公　開　類</a:t>
          </a:fld>
          <a:endParaRPr lang="en-US" altLang="zh-TW" sz="1200" b="0" i="0" u="none" strike="noStrike" baseline="0">
            <a:solidFill>
              <a:srgbClr val="000000"/>
            </a:solidFill>
            <a:latin typeface="標楷體"/>
            <a:ea typeface="標楷體"/>
          </a:endParaRPr>
        </a:p>
      </xdr:txBody>
    </xdr:sp>
    <xdr:clientData/>
  </xdr:twoCellAnchor>
  <xdr:twoCellAnchor editAs="oneCell">
    <xdr:from>
      <xdr:col>0</xdr:col>
      <xdr:colOff>0</xdr:colOff>
      <xdr:row>3</xdr:row>
      <xdr:rowOff>24307</xdr:rowOff>
    </xdr:from>
    <xdr:to>
      <xdr:col>0</xdr:col>
      <xdr:colOff>919724</xdr:colOff>
      <xdr:row>4</xdr:row>
      <xdr:rowOff>43473</xdr:rowOff>
    </xdr:to>
    <xdr:sp macro="" textlink="C1">
      <xdr:nvSpPr>
        <xdr:cNvPr id="1053" name="報表週期">
          <a:extLst>
            <a:ext uri="{FF2B5EF4-FFF2-40B4-BE49-F238E27FC236}">
              <a16:creationId xmlns:a16="http://schemas.microsoft.com/office/drawing/2014/main" id="{22624128-3F58-4896-A6EE-928A2E34265C}"/>
            </a:ext>
          </a:extLst>
        </xdr:cNvPr>
        <xdr:cNvSpPr>
          <a:spLocks noChangeArrowheads="1" noTextEdit="1"/>
        </xdr:cNvSpPr>
      </xdr:nvSpPr>
      <xdr:spPr bwMode="auto">
        <a:xfrm>
          <a:off x="0" y="257140"/>
          <a:ext cx="919724" cy="252000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lIns="36000" rIns="36000" anchor="ctr" anchorCtr="0"/>
        <a:lstStyle/>
        <a:p>
          <a:fld id="{29BB75FD-84F5-410F-A468-7789E865548A}" type="TxLink">
            <a:rPr lang="en-US" altLang="en-US" sz="1200" b="0" i="0" u="none" strike="noStrike">
              <a:solidFill>
                <a:srgbClr val="000000"/>
              </a:solidFill>
              <a:latin typeface="Times New Roman"/>
              <a:ea typeface="標楷體"/>
              <a:cs typeface="Times New Roman"/>
            </a:rPr>
            <a:t>月　　　報</a:t>
          </a:fld>
          <a:endParaRPr lang="zh-TW" altLang="en-US"/>
        </a:p>
      </xdr:txBody>
    </xdr:sp>
    <xdr:clientData/>
  </xdr:twoCellAnchor>
  <xdr:twoCellAnchor editAs="oneCell">
    <xdr:from>
      <xdr:col>8</xdr:col>
      <xdr:colOff>817792</xdr:colOff>
      <xdr:row>0</xdr:row>
      <xdr:rowOff>0</xdr:rowOff>
    </xdr:from>
    <xdr:to>
      <xdr:col>9</xdr:col>
      <xdr:colOff>380411</xdr:colOff>
      <xdr:row>3</xdr:row>
      <xdr:rowOff>19167</xdr:rowOff>
    </xdr:to>
    <xdr:sp macro="" textlink="">
      <xdr:nvSpPr>
        <xdr:cNvPr id="1055" name="編製機關">
          <a:extLst>
            <a:ext uri="{FF2B5EF4-FFF2-40B4-BE49-F238E27FC236}">
              <a16:creationId xmlns:a16="http://schemas.microsoft.com/office/drawing/2014/main" id="{82C00F6B-2282-4601-B960-FF656D2941AC}"/>
            </a:ext>
          </a:extLst>
        </xdr:cNvPr>
        <xdr:cNvSpPr>
          <a:spLocks noChangeArrowheads="1"/>
        </xdr:cNvSpPr>
      </xdr:nvSpPr>
      <xdr:spPr bwMode="auto">
        <a:xfrm>
          <a:off x="10723792" y="0"/>
          <a:ext cx="758536" cy="252000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zh-TW" altLang="en-US" sz="1200" b="0" i="0" u="none" strike="noStrike" baseline="0">
              <a:solidFill>
                <a:srgbClr val="000000"/>
              </a:solidFill>
              <a:latin typeface="標楷體"/>
              <a:ea typeface="標楷體"/>
            </a:rPr>
            <a:t>編製機關</a:t>
          </a:r>
        </a:p>
      </xdr:txBody>
    </xdr:sp>
    <xdr:clientData/>
  </xdr:twoCellAnchor>
  <xdr:twoCellAnchor editAs="oneCell">
    <xdr:from>
      <xdr:col>8</xdr:col>
      <xdr:colOff>817792</xdr:colOff>
      <xdr:row>3</xdr:row>
      <xdr:rowOff>24307</xdr:rowOff>
    </xdr:from>
    <xdr:to>
      <xdr:col>9</xdr:col>
      <xdr:colOff>380411</xdr:colOff>
      <xdr:row>4</xdr:row>
      <xdr:rowOff>43473</xdr:rowOff>
    </xdr:to>
    <xdr:sp macro="" textlink="">
      <xdr:nvSpPr>
        <xdr:cNvPr id="1056" name="表號">
          <a:extLst>
            <a:ext uri="{FF2B5EF4-FFF2-40B4-BE49-F238E27FC236}">
              <a16:creationId xmlns:a16="http://schemas.microsoft.com/office/drawing/2014/main" id="{608E7565-69B7-4495-BB4A-92E792961944}"/>
            </a:ext>
          </a:extLst>
        </xdr:cNvPr>
        <xdr:cNvSpPr>
          <a:spLocks noChangeArrowheads="1"/>
        </xdr:cNvSpPr>
      </xdr:nvSpPr>
      <xdr:spPr bwMode="auto">
        <a:xfrm>
          <a:off x="10723792" y="257140"/>
          <a:ext cx="758536" cy="252000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zh-TW" altLang="en-US" sz="1200" b="0" i="0" u="none" strike="noStrike" baseline="0">
              <a:solidFill>
                <a:srgbClr val="000000"/>
              </a:solidFill>
              <a:latin typeface="標楷體"/>
              <a:ea typeface="標楷體"/>
            </a:rPr>
            <a:t>表　　號</a:t>
          </a:r>
        </a:p>
      </xdr:txBody>
    </xdr:sp>
    <xdr:clientData/>
  </xdr:twoCellAnchor>
  <xdr:twoCellAnchor editAs="oneCell">
    <xdr:from>
      <xdr:col>9</xdr:col>
      <xdr:colOff>342483</xdr:colOff>
      <xdr:row>0</xdr:row>
      <xdr:rowOff>0</xdr:rowOff>
    </xdr:from>
    <xdr:to>
      <xdr:col>10</xdr:col>
      <xdr:colOff>1166167</xdr:colOff>
      <xdr:row>3</xdr:row>
      <xdr:rowOff>19167</xdr:rowOff>
    </xdr:to>
    <xdr:sp macro="" textlink="B1">
      <xdr:nvSpPr>
        <xdr:cNvPr id="1057" name="報表類別">
          <a:extLst>
            <a:ext uri="{FF2B5EF4-FFF2-40B4-BE49-F238E27FC236}">
              <a16:creationId xmlns:a16="http://schemas.microsoft.com/office/drawing/2014/main" id="{B9C3E8CD-6E78-4A8B-8847-B944094E7A58}"/>
            </a:ext>
          </a:extLst>
        </xdr:cNvPr>
        <xdr:cNvSpPr>
          <a:spLocks noChangeArrowheads="1" noTextEdit="1"/>
        </xdr:cNvSpPr>
      </xdr:nvSpPr>
      <xdr:spPr bwMode="auto">
        <a:xfrm>
          <a:off x="11444400" y="0"/>
          <a:ext cx="2019600" cy="252000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fld id="{E00417FC-F4E5-471B-9863-C1DD7BBB61F1}" type="TxLink">
            <a:rPr lang="en-US" altLang="en-US" sz="1200" b="0" i="0" u="none" strike="noStrike">
              <a:solidFill>
                <a:srgbClr val="000000"/>
              </a:solidFill>
              <a:latin typeface="Times New Roman"/>
              <a:ea typeface="標楷體" pitchFamily="65" charset="-120"/>
              <a:cs typeface="Times New Roman"/>
            </a:rPr>
            <a:t>福建省金門縣政府</a:t>
          </a:fld>
          <a:endParaRPr lang="zh-TW" altLang="en-US">
            <a:latin typeface="標楷體" pitchFamily="65" charset="-120"/>
            <a:ea typeface="標楷體" pitchFamily="65" charset="-120"/>
          </a:endParaRPr>
        </a:p>
      </xdr:txBody>
    </xdr:sp>
    <xdr:clientData/>
  </xdr:twoCellAnchor>
  <xdr:twoCellAnchor editAs="oneCell">
    <xdr:from>
      <xdr:col>9</xdr:col>
      <xdr:colOff>342483</xdr:colOff>
      <xdr:row>3</xdr:row>
      <xdr:rowOff>24307</xdr:rowOff>
    </xdr:from>
    <xdr:to>
      <xdr:col>10</xdr:col>
      <xdr:colOff>1166167</xdr:colOff>
      <xdr:row>4</xdr:row>
      <xdr:rowOff>43473</xdr:rowOff>
    </xdr:to>
    <xdr:sp macro="" textlink="L4">
      <xdr:nvSpPr>
        <xdr:cNvPr id="1058" name="報表類別">
          <a:extLst>
            <a:ext uri="{FF2B5EF4-FFF2-40B4-BE49-F238E27FC236}">
              <a16:creationId xmlns:a16="http://schemas.microsoft.com/office/drawing/2014/main" id="{2DFBA13C-4CC0-401C-9B91-9706ECBF3D80}"/>
            </a:ext>
          </a:extLst>
        </xdr:cNvPr>
        <xdr:cNvSpPr>
          <a:spLocks noChangeArrowheads="1" noTextEdit="1"/>
        </xdr:cNvSpPr>
      </xdr:nvSpPr>
      <xdr:spPr bwMode="auto">
        <a:xfrm>
          <a:off x="11444400" y="257140"/>
          <a:ext cx="2019600" cy="252000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fld id="{06B3270D-DDA1-4A72-BDD8-30EC7987DD1C}" type="TxLink">
            <a:rPr lang="en-US" altLang="en-US" sz="900" b="0" i="0" u="none" strike="noStrike">
              <a:solidFill>
                <a:srgbClr val="000000"/>
              </a:solidFill>
              <a:latin typeface="Times New Roman"/>
              <a:ea typeface="標楷體"/>
              <a:cs typeface="Times New Roman"/>
            </a:rPr>
            <a:t>20536-01-01-2、02、09、10</a:t>
          </a:fld>
          <a:endParaRPr lang="zh-TW" altLang="en-US" sz="1200"/>
        </a:p>
      </xdr:txBody>
    </xdr:sp>
    <xdr:clientData/>
  </xdr:twoCellAnchor>
  <xdr:twoCellAnchor editAs="oneCell">
    <xdr:from>
      <xdr:col>0</xdr:col>
      <xdr:colOff>923925</xdr:colOff>
      <xdr:row>4</xdr:row>
      <xdr:rowOff>38100</xdr:rowOff>
    </xdr:from>
    <xdr:to>
      <xdr:col>8</xdr:col>
      <xdr:colOff>857250</xdr:colOff>
      <xdr:row>4</xdr:row>
      <xdr:rowOff>38100</xdr:rowOff>
    </xdr:to>
    <xdr:sp macro="" textlink="">
      <xdr:nvSpPr>
        <xdr:cNvPr id="5240" name="Line 37">
          <a:extLst>
            <a:ext uri="{FF2B5EF4-FFF2-40B4-BE49-F238E27FC236}">
              <a16:creationId xmlns:a16="http://schemas.microsoft.com/office/drawing/2014/main" id="{CB78A568-7B09-0B3E-BBCE-015DBE8F32D7}"/>
            </a:ext>
          </a:extLst>
        </xdr:cNvPr>
        <xdr:cNvSpPr>
          <a:spLocks noChangeShapeType="1"/>
        </xdr:cNvSpPr>
      </xdr:nvSpPr>
      <xdr:spPr bwMode="auto">
        <a:xfrm>
          <a:off x="923925" y="495300"/>
          <a:ext cx="980122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9</xdr:col>
      <xdr:colOff>232833</xdr:colOff>
      <xdr:row>6</xdr:row>
      <xdr:rowOff>137578</xdr:rowOff>
    </xdr:from>
    <xdr:to>
      <xdr:col>10</xdr:col>
      <xdr:colOff>1185519</xdr:colOff>
      <xdr:row>7</xdr:row>
      <xdr:rowOff>158746</xdr:rowOff>
    </xdr:to>
    <xdr:sp macro="" textlink="">
      <xdr:nvSpPr>
        <xdr:cNvPr id="14" name="報表類別">
          <a:extLst>
            <a:ext uri="{FF2B5EF4-FFF2-40B4-BE49-F238E27FC236}">
              <a16:creationId xmlns:a16="http://schemas.microsoft.com/office/drawing/2014/main" id="{B04D81FE-283B-45C4-850E-4C4DFB98AE6C}"/>
            </a:ext>
          </a:extLst>
        </xdr:cNvPr>
        <xdr:cNvSpPr>
          <a:spLocks noChangeArrowheads="1"/>
        </xdr:cNvSpPr>
      </xdr:nvSpPr>
      <xdr:spPr bwMode="auto">
        <a:xfrm rot="10800000" flipV="1">
          <a:off x="11334750" y="1365245"/>
          <a:ext cx="2148602" cy="243418"/>
        </a:xfrm>
        <a:prstGeom prst="rect">
          <a:avLst/>
        </a:prstGeom>
        <a:solidFill>
          <a:schemeClr val="bg1"/>
        </a:solidFill>
        <a:ln w="19050">
          <a:noFill/>
          <a:miter lim="800000"/>
          <a:headEnd/>
          <a:tailEnd/>
        </a:ln>
      </xdr:spPr>
      <xdr:txBody>
        <a:bodyPr vertOverflow="clip" wrap="square" lIns="0" tIns="0" rIns="0" bIns="0" anchor="ctr" upright="1"/>
        <a:lstStyle/>
        <a:p>
          <a:pPr algn="r" rtl="0">
            <a:defRPr sz="1000"/>
          </a:pPr>
          <a:r>
            <a:rPr lang="zh-TW" altLang="en-US" sz="1200" b="0" i="0" u="none" strike="noStrike" baseline="0">
              <a:solidFill>
                <a:srgbClr val="000000"/>
              </a:solidFill>
              <a:latin typeface="標楷體"/>
              <a:ea typeface="標楷體"/>
            </a:rPr>
            <a:t>單位：件，平方公尺，仟元，戶</a:t>
          </a:r>
        </a:p>
      </xdr:txBody>
    </xdr:sp>
    <xdr:clientData/>
  </xdr:twoCellAnchor>
  <xdr:twoCellAnchor editAs="oneCell">
    <xdr:from>
      <xdr:col>9</xdr:col>
      <xdr:colOff>63500</xdr:colOff>
      <xdr:row>23</xdr:row>
      <xdr:rowOff>42333</xdr:rowOff>
    </xdr:from>
    <xdr:to>
      <xdr:col>13</xdr:col>
      <xdr:colOff>33883</xdr:colOff>
      <xdr:row>23</xdr:row>
      <xdr:rowOff>190497</xdr:rowOff>
    </xdr:to>
    <xdr:sp macro="" textlink="">
      <xdr:nvSpPr>
        <xdr:cNvPr id="41" name="報表類別">
          <a:extLst>
            <a:ext uri="{FF2B5EF4-FFF2-40B4-BE49-F238E27FC236}">
              <a16:creationId xmlns:a16="http://schemas.microsoft.com/office/drawing/2014/main" id="{9A9E680E-470E-42D2-B151-324A879E02E3}"/>
            </a:ext>
          </a:extLst>
        </xdr:cNvPr>
        <xdr:cNvSpPr>
          <a:spLocks noChangeArrowheads="1"/>
        </xdr:cNvSpPr>
      </xdr:nvSpPr>
      <xdr:spPr bwMode="auto">
        <a:xfrm rot="10800000" flipV="1">
          <a:off x="11165417" y="4296833"/>
          <a:ext cx="2362216" cy="14816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  <xdr:txBody>
        <a:bodyPr vertOverflow="clip" wrap="square" lIns="0" tIns="0" rIns="0" bIns="0" anchor="ctr" upright="1"/>
        <a:lstStyle/>
        <a:p>
          <a:pPr algn="r" rtl="0">
            <a:defRPr sz="1000"/>
          </a:pPr>
          <a:r>
            <a:rPr lang="zh-TW" altLang="en-US" sz="1200" b="0" i="0" u="none" strike="noStrike" baseline="0">
              <a:solidFill>
                <a:srgbClr val="000000"/>
              </a:solidFill>
              <a:latin typeface="標楷體"/>
              <a:ea typeface="標楷體"/>
            </a:rPr>
            <a:t>單位：件，棟，平方公尺，仟元</a:t>
          </a:r>
        </a:p>
      </xdr:txBody>
    </xdr:sp>
    <xdr:clientData/>
  </xdr:twoCellAnchor>
  <xdr:twoCellAnchor editAs="oneCell">
    <xdr:from>
      <xdr:col>9</xdr:col>
      <xdr:colOff>719666</xdr:colOff>
      <xdr:row>35</xdr:row>
      <xdr:rowOff>10579</xdr:rowOff>
    </xdr:from>
    <xdr:to>
      <xdr:col>13</xdr:col>
      <xdr:colOff>12773</xdr:colOff>
      <xdr:row>35</xdr:row>
      <xdr:rowOff>192140</xdr:rowOff>
    </xdr:to>
    <xdr:sp macro="" textlink="">
      <xdr:nvSpPr>
        <xdr:cNvPr id="42" name="報表類別">
          <a:extLst>
            <a:ext uri="{FF2B5EF4-FFF2-40B4-BE49-F238E27FC236}">
              <a16:creationId xmlns:a16="http://schemas.microsoft.com/office/drawing/2014/main" id="{0809275A-DBFB-4228-BE46-FA1FE8FCABE8}"/>
            </a:ext>
          </a:extLst>
        </xdr:cNvPr>
        <xdr:cNvSpPr>
          <a:spLocks noChangeArrowheads="1"/>
        </xdr:cNvSpPr>
      </xdr:nvSpPr>
      <xdr:spPr bwMode="auto">
        <a:xfrm rot="10800000" flipV="1">
          <a:off x="11821583" y="6011329"/>
          <a:ext cx="1684940" cy="18156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  <xdr:txBody>
        <a:bodyPr vertOverflow="clip" wrap="square" lIns="0" tIns="0" rIns="0" bIns="0" anchor="ctr" upright="1"/>
        <a:lstStyle/>
        <a:p>
          <a:pPr algn="r" rtl="0">
            <a:defRPr sz="1000"/>
          </a:pPr>
          <a:r>
            <a:rPr lang="zh-TW" altLang="en-US" sz="1200" b="0" i="0" u="none" strike="noStrike" baseline="0">
              <a:solidFill>
                <a:srgbClr val="000000"/>
              </a:solidFill>
              <a:latin typeface="標楷體"/>
              <a:ea typeface="標楷體"/>
            </a:rPr>
            <a:t>單位：件，戶，平方公尺</a:t>
          </a:r>
        </a:p>
      </xdr:txBody>
    </xdr:sp>
    <xdr:clientData/>
  </xdr:twoCellAnchor>
  <xdr:twoCellAnchor editAs="oneCell">
    <xdr:from>
      <xdr:col>9</xdr:col>
      <xdr:colOff>391583</xdr:colOff>
      <xdr:row>43</xdr:row>
      <xdr:rowOff>31749</xdr:rowOff>
    </xdr:from>
    <xdr:to>
      <xdr:col>10</xdr:col>
      <xdr:colOff>1173883</xdr:colOff>
      <xdr:row>44</xdr:row>
      <xdr:rowOff>10865</xdr:rowOff>
    </xdr:to>
    <xdr:sp macro="" textlink="">
      <xdr:nvSpPr>
        <xdr:cNvPr id="43" name="報表類別">
          <a:extLst>
            <a:ext uri="{FF2B5EF4-FFF2-40B4-BE49-F238E27FC236}">
              <a16:creationId xmlns:a16="http://schemas.microsoft.com/office/drawing/2014/main" id="{DB6CC664-8B44-4443-92CB-2526716258F7}"/>
            </a:ext>
          </a:extLst>
        </xdr:cNvPr>
        <xdr:cNvSpPr>
          <a:spLocks noChangeArrowheads="1"/>
        </xdr:cNvSpPr>
      </xdr:nvSpPr>
      <xdr:spPr bwMode="auto">
        <a:xfrm rot="10800000" flipV="1">
          <a:off x="11493500" y="7408332"/>
          <a:ext cx="1978216" cy="2119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  <xdr:txBody>
        <a:bodyPr vertOverflow="clip" wrap="square" lIns="0" tIns="0" rIns="0" bIns="0" anchor="ctr" upright="1"/>
        <a:lstStyle/>
        <a:p>
          <a:pPr algn="r" rtl="0">
            <a:defRPr sz="1000"/>
          </a:pPr>
          <a:r>
            <a:rPr lang="zh-TW" altLang="en-US" sz="1200" b="0" i="0" u="none" strike="noStrike" baseline="0">
              <a:solidFill>
                <a:srgbClr val="000000"/>
              </a:solidFill>
              <a:latin typeface="標楷體"/>
              <a:ea typeface="標楷體"/>
            </a:rPr>
            <a:t>單位：件，棟，平方公尺</a:t>
          </a:r>
        </a:p>
      </xdr:txBody>
    </xdr:sp>
    <xdr:clientData/>
  </xdr:twoCellAnchor>
  <xdr:twoCellAnchor editAs="oneCell">
    <xdr:from>
      <xdr:col>9</xdr:col>
      <xdr:colOff>42335</xdr:colOff>
      <xdr:row>52</xdr:row>
      <xdr:rowOff>10586</xdr:rowOff>
    </xdr:from>
    <xdr:to>
      <xdr:col>10</xdr:col>
      <xdr:colOff>1185334</xdr:colOff>
      <xdr:row>53</xdr:row>
      <xdr:rowOff>4444</xdr:rowOff>
    </xdr:to>
    <xdr:sp macro="" textlink="B2">
      <xdr:nvSpPr>
        <xdr:cNvPr id="44" name="報表類別">
          <a:extLst>
            <a:ext uri="{FF2B5EF4-FFF2-40B4-BE49-F238E27FC236}">
              <a16:creationId xmlns:a16="http://schemas.microsoft.com/office/drawing/2014/main" id="{8747D024-3349-484A-9530-8520DFC9D9CF}"/>
            </a:ext>
          </a:extLst>
        </xdr:cNvPr>
        <xdr:cNvSpPr>
          <a:spLocks noChangeArrowheads="1"/>
        </xdr:cNvSpPr>
      </xdr:nvSpPr>
      <xdr:spPr bwMode="auto">
        <a:xfrm rot="10800000" flipV="1">
          <a:off x="11144252" y="9313336"/>
          <a:ext cx="2338915" cy="22669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  <xdr:txBody>
        <a:bodyPr vertOverflow="clip" wrap="square" lIns="0" tIns="0" rIns="0" bIns="0" anchor="ctr" upright="1"/>
        <a:lstStyle/>
        <a:p>
          <a:pPr algn="r" rtl="0">
            <a:defRPr sz="1000"/>
          </a:pPr>
          <a:fld id="{48F34C7E-5E74-4310-97A3-9C75055842EA}" type="TxLink">
            <a:rPr lang="en-US" altLang="en-US" sz="1200" b="0" i="0" u="none" strike="noStrike" baseline="0">
              <a:solidFill>
                <a:srgbClr val="000000"/>
              </a:solidFill>
              <a:latin typeface="Times New Roman"/>
              <a:ea typeface="標楷體"/>
              <a:cs typeface="Times New Roman"/>
            </a:rPr>
            <a:t>民國115年 1月 3日 15:10:43 印製</a:t>
          </a:fld>
          <a:endParaRPr lang="zh-TW" altLang="en-US" sz="1200" b="0" i="0" u="none" strike="noStrike" baseline="0">
            <a:solidFill>
              <a:srgbClr val="000000"/>
            </a:solidFill>
            <a:latin typeface="標楷體"/>
            <a:ea typeface="標楷體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D6D3B-BC12-4E02-8287-47D2B51613DC}">
  <sheetPr codeName="Sheet1"/>
  <dimension ref="A1:M64"/>
  <sheetViews>
    <sheetView tabSelected="1" topLeftCell="A3" zoomScale="90" zoomScaleNormal="90" workbookViewId="0"/>
  </sheetViews>
  <sheetFormatPr defaultRowHeight="12"/>
  <cols>
    <col min="1" max="1" width="26.83203125" style="3" customWidth="1"/>
    <col min="2" max="5" width="20.83203125" style="3" customWidth="1"/>
    <col min="6" max="11" width="20.83203125" customWidth="1"/>
    <col min="12" max="13" width="9.33203125" hidden="1" customWidth="1"/>
    <col min="14" max="16" width="9.33203125" customWidth="1"/>
  </cols>
  <sheetData>
    <row r="1" spans="1:12" s="6" customFormat="1" ht="31.5" hidden="1" customHeight="1">
      <c r="A1" s="7" t="s">
        <v>54</v>
      </c>
      <c r="B1" s="7" t="s">
        <v>46</v>
      </c>
      <c r="C1" s="7" t="s">
        <v>47</v>
      </c>
      <c r="D1" s="7" t="s">
        <v>48</v>
      </c>
      <c r="E1" s="75" t="s">
        <v>49</v>
      </c>
      <c r="F1" s="76" t="s">
        <v>50</v>
      </c>
      <c r="G1" s="6" t="s">
        <v>51</v>
      </c>
      <c r="H1" s="8"/>
      <c r="I1" s="8"/>
    </row>
    <row r="2" spans="1:12" s="6" customFormat="1" ht="28.5" hidden="1" customHeight="1">
      <c r="A2" s="7" t="s">
        <v>52</v>
      </c>
      <c r="B2" s="7" t="s">
        <v>37</v>
      </c>
      <c r="C2" s="7" t="s">
        <v>38</v>
      </c>
      <c r="D2" s="7"/>
      <c r="E2" s="7"/>
    </row>
    <row r="3" spans="1:12" s="3" customFormat="1" ht="18" customHeight="1">
      <c r="A3" s="84"/>
      <c r="B3" s="84"/>
      <c r="C3" s="84"/>
      <c r="D3" s="84"/>
      <c r="E3" s="18"/>
      <c r="F3" s="5"/>
      <c r="G3" s="5"/>
      <c r="H3" s="5"/>
      <c r="I3" s="5"/>
      <c r="J3" s="5"/>
      <c r="K3" s="5"/>
    </row>
    <row r="4" spans="1:12" s="3" customFormat="1" ht="18" customHeight="1">
      <c r="A4" s="84"/>
      <c r="B4" s="84"/>
      <c r="C4" s="84"/>
      <c r="D4" s="84"/>
      <c r="E4" s="18"/>
      <c r="F4" s="10"/>
      <c r="G4" s="10"/>
      <c r="H4" s="5"/>
      <c r="I4" s="5"/>
      <c r="J4" s="5"/>
      <c r="K4" s="5"/>
      <c r="L4" s="3" t="str">
        <f>E1&amp;"、02、09、10"</f>
        <v>20536-01-01-2、02、09、10</v>
      </c>
    </row>
    <row r="5" spans="1:12" ht="36" customHeight="1">
      <c r="A5" s="85" t="str">
        <f>F1</f>
        <v>金門縣政府核發建築物建造及拆除執照</v>
      </c>
      <c r="B5" s="85"/>
      <c r="C5" s="85"/>
      <c r="D5" s="85"/>
      <c r="E5" s="85"/>
      <c r="F5" s="85"/>
      <c r="G5" s="85"/>
      <c r="H5" s="85"/>
      <c r="I5" s="85"/>
      <c r="J5" s="85"/>
      <c r="K5" s="85"/>
    </row>
    <row r="6" spans="1:12" ht="24" customHeight="1">
      <c r="A6" s="86" t="str">
        <f>G1</f>
        <v>中華民國114年12月</v>
      </c>
      <c r="B6" s="86"/>
      <c r="C6" s="86"/>
      <c r="D6" s="86"/>
      <c r="E6" s="86"/>
      <c r="F6" s="86"/>
      <c r="G6" s="86"/>
      <c r="H6" s="86"/>
      <c r="I6" s="86"/>
      <c r="J6" s="86"/>
      <c r="K6" s="86"/>
    </row>
    <row r="7" spans="1:12" ht="17.25" customHeight="1">
      <c r="A7" s="13" t="s">
        <v>0</v>
      </c>
      <c r="B7" s="12"/>
      <c r="C7" s="12"/>
      <c r="D7" s="12"/>
      <c r="E7" s="12"/>
      <c r="F7" s="12"/>
      <c r="G7" s="12"/>
      <c r="H7" s="12"/>
      <c r="I7" s="12"/>
      <c r="J7" s="12"/>
      <c r="K7" s="12"/>
    </row>
    <row r="8" spans="1:12" ht="15" customHeight="1" thickBot="1">
      <c r="A8" s="13" t="s">
        <v>1</v>
      </c>
      <c r="B8" s="12"/>
      <c r="C8" s="12"/>
      <c r="D8" s="12"/>
      <c r="E8" s="12"/>
      <c r="F8" s="12"/>
      <c r="G8" s="12"/>
      <c r="H8" s="12"/>
      <c r="I8" s="12"/>
      <c r="J8" s="12"/>
      <c r="K8" s="12"/>
    </row>
    <row r="9" spans="1:12" s="1" customFormat="1" ht="18" customHeight="1">
      <c r="A9" s="114" t="s">
        <v>19</v>
      </c>
      <c r="B9" s="114"/>
      <c r="C9" s="115"/>
      <c r="D9" s="119" t="s">
        <v>15</v>
      </c>
      <c r="E9" s="103" t="s">
        <v>21</v>
      </c>
      <c r="F9" s="103" t="s">
        <v>22</v>
      </c>
      <c r="G9" s="103" t="s">
        <v>23</v>
      </c>
      <c r="H9" s="103" t="s">
        <v>24</v>
      </c>
      <c r="I9" s="103" t="s">
        <v>25</v>
      </c>
      <c r="J9" s="103" t="s">
        <v>26</v>
      </c>
      <c r="K9" s="103" t="s">
        <v>27</v>
      </c>
    </row>
    <row r="10" spans="1:12" s="1" customFormat="1" ht="18" customHeight="1" thickBot="1">
      <c r="A10" s="84"/>
      <c r="B10" s="84"/>
      <c r="C10" s="116"/>
      <c r="D10" s="120"/>
      <c r="E10" s="104"/>
      <c r="F10" s="104"/>
      <c r="G10" s="104"/>
      <c r="H10" s="104"/>
      <c r="I10" s="104"/>
      <c r="J10" s="104"/>
      <c r="K10" s="104"/>
    </row>
    <row r="11" spans="1:12" s="1" customFormat="1" ht="18" customHeight="1">
      <c r="A11" s="117" t="s">
        <v>2</v>
      </c>
      <c r="B11" s="117"/>
      <c r="C11" s="118"/>
      <c r="D11" s="66">
        <v>11</v>
      </c>
      <c r="E11" s="67">
        <v>0</v>
      </c>
      <c r="F11" s="67">
        <v>0</v>
      </c>
      <c r="G11" s="68">
        <v>1</v>
      </c>
      <c r="H11" s="67">
        <v>0</v>
      </c>
      <c r="I11" s="67">
        <v>0</v>
      </c>
      <c r="J11" s="67">
        <v>0</v>
      </c>
      <c r="K11" s="68">
        <v>1</v>
      </c>
    </row>
    <row r="12" spans="1:12" s="1" customFormat="1" ht="18" customHeight="1">
      <c r="A12" s="123" t="s">
        <v>3</v>
      </c>
      <c r="B12" s="123"/>
      <c r="C12" s="124"/>
      <c r="D12" s="69">
        <v>3865</v>
      </c>
      <c r="E12" s="70">
        <v>0</v>
      </c>
      <c r="F12" s="70">
        <v>0</v>
      </c>
      <c r="G12" s="71">
        <v>424</v>
      </c>
      <c r="H12" s="70">
        <v>0</v>
      </c>
      <c r="I12" s="70">
        <v>0</v>
      </c>
      <c r="J12" s="70">
        <v>0</v>
      </c>
      <c r="K12" s="71">
        <v>77</v>
      </c>
    </row>
    <row r="13" spans="1:12" s="2" customFormat="1" ht="18" customHeight="1" thickBot="1">
      <c r="A13" s="90" t="s">
        <v>36</v>
      </c>
      <c r="B13" s="90"/>
      <c r="C13" s="91"/>
      <c r="D13" s="72">
        <v>14682</v>
      </c>
      <c r="E13" s="73">
        <v>0</v>
      </c>
      <c r="F13" s="73">
        <v>0</v>
      </c>
      <c r="G13" s="74">
        <v>1611</v>
      </c>
      <c r="H13" s="73">
        <v>0</v>
      </c>
      <c r="I13" s="73">
        <v>0</v>
      </c>
      <c r="J13" s="73">
        <v>0</v>
      </c>
      <c r="K13" s="74">
        <v>292</v>
      </c>
    </row>
    <row r="14" spans="1:12" s="2" customFormat="1" ht="15" hidden="1" customHeight="1">
      <c r="A14" s="19"/>
      <c r="B14" s="21"/>
      <c r="C14" s="21"/>
      <c r="D14" s="21"/>
      <c r="E14" s="21"/>
      <c r="F14" s="20"/>
      <c r="G14" s="20"/>
      <c r="H14" s="20"/>
      <c r="I14" s="20"/>
      <c r="J14" s="20"/>
      <c r="K14" s="20"/>
    </row>
    <row r="15" spans="1:12" s="2" customFormat="1" ht="15" hidden="1" customHeight="1">
      <c r="A15" s="19"/>
      <c r="B15" s="21"/>
      <c r="C15" s="21"/>
      <c r="D15" s="21"/>
      <c r="E15" s="21"/>
      <c r="F15" s="20"/>
      <c r="G15" s="20"/>
      <c r="H15" s="20"/>
      <c r="I15" s="20"/>
      <c r="J15" s="20"/>
      <c r="K15" s="20"/>
    </row>
    <row r="16" spans="1:12" s="2" customFormat="1" ht="15" hidden="1" customHeight="1">
      <c r="A16" s="19"/>
      <c r="B16" s="21"/>
      <c r="C16" s="21"/>
      <c r="D16" s="21"/>
      <c r="E16" s="21"/>
      <c r="F16" s="20"/>
      <c r="G16" s="20"/>
      <c r="H16" s="20"/>
      <c r="I16" s="20"/>
      <c r="J16" s="20"/>
      <c r="K16" s="20"/>
    </row>
    <row r="17" spans="1:13" s="2" customFormat="1" ht="5.0999999999999996" customHeight="1" thickBot="1">
      <c r="A17" s="19"/>
      <c r="B17" s="21"/>
      <c r="C17" s="21"/>
      <c r="D17" s="21"/>
      <c r="E17" s="21"/>
      <c r="F17" s="20"/>
      <c r="G17" s="20"/>
      <c r="H17" s="20"/>
      <c r="I17" s="20"/>
      <c r="J17" s="20"/>
      <c r="K17" s="20"/>
    </row>
    <row r="18" spans="1:13" s="2" customFormat="1" ht="15" customHeight="1">
      <c r="A18" s="131" t="s">
        <v>28</v>
      </c>
      <c r="B18" s="131"/>
      <c r="C18" s="131"/>
      <c r="D18" s="132"/>
      <c r="E18" s="126" t="s">
        <v>29</v>
      </c>
      <c r="F18" s="127"/>
      <c r="G18" s="128"/>
      <c r="H18" s="105" t="s">
        <v>31</v>
      </c>
      <c r="I18" s="108" t="s">
        <v>32</v>
      </c>
      <c r="J18" s="30"/>
      <c r="K18" s="30"/>
    </row>
    <row r="19" spans="1:13" s="2" customFormat="1" ht="15" customHeight="1">
      <c r="A19" s="133"/>
      <c r="B19" s="133"/>
      <c r="C19" s="133"/>
      <c r="D19" s="134"/>
      <c r="E19" s="129" t="s">
        <v>30</v>
      </c>
      <c r="F19" s="29" t="s">
        <v>17</v>
      </c>
      <c r="G19" s="28" t="s">
        <v>16</v>
      </c>
      <c r="H19" s="106"/>
      <c r="I19" s="109"/>
      <c r="J19" s="111" t="s">
        <v>33</v>
      </c>
      <c r="K19" s="112"/>
      <c r="L19" s="64">
        <v>26</v>
      </c>
      <c r="M19" s="65">
        <v>0</v>
      </c>
    </row>
    <row r="20" spans="1:13" s="2" customFormat="1" ht="15" customHeight="1" thickBot="1">
      <c r="A20" s="135"/>
      <c r="B20" s="135"/>
      <c r="C20" s="135"/>
      <c r="D20" s="136"/>
      <c r="E20" s="130"/>
      <c r="F20" s="34" t="str">
        <f>"戶數："&amp;L19</f>
        <v>戶數：26</v>
      </c>
      <c r="G20" s="34" t="str">
        <f>"戶數："&amp;M19</f>
        <v>戶數：0</v>
      </c>
      <c r="H20" s="107"/>
      <c r="I20" s="110"/>
      <c r="J20" s="110"/>
      <c r="K20" s="113"/>
    </row>
    <row r="21" spans="1:13" s="2" customFormat="1" ht="18" customHeight="1">
      <c r="A21" s="125" t="s">
        <v>2</v>
      </c>
      <c r="B21" s="125"/>
      <c r="C21" s="125"/>
      <c r="D21" s="125"/>
      <c r="E21" s="55">
        <v>0</v>
      </c>
      <c r="F21" s="56">
        <v>9</v>
      </c>
      <c r="G21" s="57">
        <v>0</v>
      </c>
      <c r="H21" s="57">
        <v>0</v>
      </c>
      <c r="I21" s="57">
        <v>0</v>
      </c>
      <c r="J21" s="77">
        <v>0</v>
      </c>
      <c r="K21" s="78"/>
    </row>
    <row r="22" spans="1:13" s="2" customFormat="1" ht="18" customHeight="1">
      <c r="A22" s="89" t="s">
        <v>3</v>
      </c>
      <c r="B22" s="89"/>
      <c r="C22" s="89"/>
      <c r="D22" s="89"/>
      <c r="E22" s="58">
        <v>0</v>
      </c>
      <c r="F22" s="59">
        <v>3364</v>
      </c>
      <c r="G22" s="60">
        <v>0</v>
      </c>
      <c r="H22" s="60">
        <v>0</v>
      </c>
      <c r="I22" s="60">
        <v>0</v>
      </c>
      <c r="J22" s="79">
        <v>0</v>
      </c>
      <c r="K22" s="80"/>
    </row>
    <row r="23" spans="1:13" s="2" customFormat="1" ht="18" customHeight="1" thickBot="1">
      <c r="A23" s="121" t="s">
        <v>36</v>
      </c>
      <c r="B23" s="121"/>
      <c r="C23" s="121"/>
      <c r="D23" s="122"/>
      <c r="E23" s="61">
        <v>0</v>
      </c>
      <c r="F23" s="62">
        <v>12779</v>
      </c>
      <c r="G23" s="63">
        <v>0</v>
      </c>
      <c r="H23" s="63">
        <v>0</v>
      </c>
      <c r="I23" s="63">
        <v>0</v>
      </c>
      <c r="J23" s="81">
        <v>0</v>
      </c>
      <c r="K23" s="82"/>
    </row>
    <row r="24" spans="1:13" s="2" customFormat="1" ht="18" customHeight="1" thickBot="1">
      <c r="A24" s="26" t="s">
        <v>4</v>
      </c>
      <c r="B24" s="14"/>
      <c r="C24" s="14"/>
      <c r="D24" s="14"/>
      <c r="E24" s="14"/>
      <c r="F24" s="15"/>
      <c r="G24" s="15"/>
      <c r="H24" s="15"/>
      <c r="I24" s="15"/>
      <c r="J24" s="15"/>
      <c r="K24" s="15"/>
    </row>
    <row r="25" spans="1:13" s="2" customFormat="1" ht="37.5" customHeight="1" thickBot="1">
      <c r="A25" s="93" t="s">
        <v>20</v>
      </c>
      <c r="B25" s="93"/>
      <c r="C25" s="94"/>
      <c r="D25" s="51" t="s">
        <v>53</v>
      </c>
      <c r="E25" s="52" t="s">
        <v>39</v>
      </c>
      <c r="F25" s="52" t="s">
        <v>40</v>
      </c>
      <c r="G25" s="53" t="s">
        <v>41</v>
      </c>
      <c r="H25" s="53" t="s">
        <v>42</v>
      </c>
      <c r="I25" s="53" t="s">
        <v>43</v>
      </c>
      <c r="J25" s="53" t="s">
        <v>44</v>
      </c>
      <c r="K25" s="54" t="s">
        <v>45</v>
      </c>
    </row>
    <row r="26" spans="1:13" s="2" customFormat="1" ht="18" customHeight="1">
      <c r="A26" s="95" t="s">
        <v>2</v>
      </c>
      <c r="B26" s="95"/>
      <c r="C26" s="96"/>
      <c r="D26" s="45">
        <v>11</v>
      </c>
      <c r="E26" s="36">
        <v>0</v>
      </c>
      <c r="F26" s="36">
        <v>0</v>
      </c>
      <c r="G26" s="46">
        <v>1</v>
      </c>
      <c r="H26" s="46">
        <v>10</v>
      </c>
      <c r="I26" s="36">
        <v>0</v>
      </c>
      <c r="J26" s="36">
        <v>0</v>
      </c>
      <c r="K26" s="37">
        <v>0</v>
      </c>
    </row>
    <row r="27" spans="1:13" s="2" customFormat="1" ht="18" customHeight="1">
      <c r="A27" s="88" t="s">
        <v>5</v>
      </c>
      <c r="B27" s="88"/>
      <c r="C27" s="89"/>
      <c r="D27" s="47">
        <v>11</v>
      </c>
      <c r="E27" s="39">
        <v>0</v>
      </c>
      <c r="F27" s="39">
        <v>0</v>
      </c>
      <c r="G27" s="48">
        <v>1</v>
      </c>
      <c r="H27" s="48">
        <v>10</v>
      </c>
      <c r="I27" s="39">
        <v>0</v>
      </c>
      <c r="J27" s="39">
        <v>0</v>
      </c>
      <c r="K27" s="40">
        <v>0</v>
      </c>
    </row>
    <row r="28" spans="1:13" s="2" customFormat="1" ht="18" customHeight="1">
      <c r="A28" s="88" t="s">
        <v>6</v>
      </c>
      <c r="B28" s="88"/>
      <c r="C28" s="89"/>
      <c r="D28" s="47">
        <v>3865</v>
      </c>
      <c r="E28" s="39">
        <v>0</v>
      </c>
      <c r="F28" s="39">
        <v>0</v>
      </c>
      <c r="G28" s="48">
        <v>424</v>
      </c>
      <c r="H28" s="48">
        <v>3441</v>
      </c>
      <c r="I28" s="39">
        <v>0</v>
      </c>
      <c r="J28" s="39">
        <v>0</v>
      </c>
      <c r="K28" s="40">
        <v>0</v>
      </c>
    </row>
    <row r="29" spans="1:13" s="2" customFormat="1" ht="18" customHeight="1" thickBot="1">
      <c r="A29" s="90" t="s">
        <v>36</v>
      </c>
      <c r="B29" s="90"/>
      <c r="C29" s="91"/>
      <c r="D29" s="49">
        <v>14682</v>
      </c>
      <c r="E29" s="42">
        <v>0</v>
      </c>
      <c r="F29" s="42">
        <v>0</v>
      </c>
      <c r="G29" s="50">
        <v>1611</v>
      </c>
      <c r="H29" s="50">
        <v>13071</v>
      </c>
      <c r="I29" s="42">
        <v>0</v>
      </c>
      <c r="J29" s="42">
        <v>0</v>
      </c>
      <c r="K29" s="43">
        <v>0</v>
      </c>
    </row>
    <row r="30" spans="1:13" s="2" customFormat="1" ht="15" hidden="1" customHeight="1">
      <c r="A30" s="19"/>
      <c r="B30" s="14"/>
      <c r="C30" s="14"/>
      <c r="D30" s="14"/>
      <c r="E30" s="14"/>
      <c r="F30" s="15"/>
      <c r="G30" s="15"/>
      <c r="H30" s="15"/>
      <c r="I30" s="15"/>
      <c r="J30" s="15"/>
      <c r="K30" s="15"/>
    </row>
    <row r="31" spans="1:13" s="2" customFormat="1" ht="15" hidden="1" customHeight="1">
      <c r="A31" s="19"/>
      <c r="B31" s="14"/>
      <c r="C31" s="14"/>
      <c r="D31" s="14"/>
      <c r="E31" s="14"/>
      <c r="F31" s="15"/>
      <c r="G31" s="15"/>
      <c r="H31" s="15"/>
      <c r="I31" s="15"/>
      <c r="J31" s="15"/>
      <c r="K31" s="15"/>
    </row>
    <row r="32" spans="1:13" s="2" customFormat="1" ht="15" hidden="1" customHeight="1">
      <c r="A32" s="19"/>
      <c r="B32" s="14"/>
      <c r="C32" s="14"/>
      <c r="D32" s="14"/>
      <c r="E32" s="14"/>
      <c r="F32" s="15"/>
      <c r="G32" s="15"/>
      <c r="H32" s="15"/>
      <c r="I32" s="15"/>
      <c r="J32" s="15"/>
      <c r="K32" s="15"/>
    </row>
    <row r="33" spans="1:11" s="2" customFormat="1" ht="15" hidden="1" customHeight="1">
      <c r="A33" s="19"/>
      <c r="B33" s="14"/>
      <c r="C33" s="14"/>
      <c r="D33" s="14"/>
      <c r="E33" s="14"/>
      <c r="F33" s="15"/>
      <c r="G33" s="15"/>
      <c r="H33" s="15"/>
      <c r="I33" s="15"/>
      <c r="J33" s="15"/>
      <c r="K33" s="15"/>
    </row>
    <row r="34" spans="1:11" s="2" customFormat="1" ht="15" hidden="1" customHeight="1">
      <c r="A34" s="19"/>
      <c r="B34" s="14"/>
      <c r="C34" s="14"/>
      <c r="D34" s="14"/>
      <c r="E34" s="14"/>
      <c r="F34" s="15"/>
      <c r="G34" s="15"/>
      <c r="H34" s="15"/>
      <c r="I34" s="15"/>
      <c r="J34" s="15"/>
      <c r="K34" s="15"/>
    </row>
    <row r="35" spans="1:11" s="2" customFormat="1" ht="18" customHeight="1">
      <c r="A35" s="17" t="s">
        <v>7</v>
      </c>
      <c r="B35" s="14"/>
      <c r="C35" s="14"/>
      <c r="D35" s="15"/>
      <c r="E35" s="15"/>
      <c r="F35" s="15"/>
      <c r="G35" s="15"/>
      <c r="H35" s="15"/>
      <c r="I35" s="15"/>
      <c r="J35" s="15"/>
      <c r="K35" s="15"/>
    </row>
    <row r="36" spans="1:11" s="2" customFormat="1" ht="18" customHeight="1" thickBot="1">
      <c r="A36" s="25" t="s">
        <v>8</v>
      </c>
      <c r="B36" s="14"/>
      <c r="C36" s="14"/>
      <c r="D36" s="15"/>
      <c r="E36" s="15"/>
      <c r="F36" s="15"/>
      <c r="G36" s="15"/>
    </row>
    <row r="37" spans="1:11" s="2" customFormat="1" ht="35.25" customHeight="1" thickBot="1">
      <c r="A37" s="93" t="s">
        <v>19</v>
      </c>
      <c r="B37" s="94"/>
      <c r="C37" s="97" t="s">
        <v>35</v>
      </c>
      <c r="D37" s="97"/>
      <c r="E37" s="97"/>
      <c r="F37" s="99" t="s">
        <v>34</v>
      </c>
      <c r="G37" s="97"/>
      <c r="H37" s="100"/>
      <c r="I37" s="98" t="s">
        <v>18</v>
      </c>
      <c r="J37" s="98"/>
      <c r="K37" s="98"/>
    </row>
    <row r="38" spans="1:11" s="2" customFormat="1" ht="18" customHeight="1">
      <c r="A38" s="95" t="s">
        <v>2</v>
      </c>
      <c r="B38" s="96"/>
      <c r="C38" s="138">
        <f>B41</f>
        <v>0</v>
      </c>
      <c r="D38" s="139"/>
      <c r="E38" s="139"/>
      <c r="F38" s="144">
        <f>C41</f>
        <v>0</v>
      </c>
      <c r="G38" s="139"/>
      <c r="H38" s="145"/>
      <c r="I38" s="101">
        <f>D41</f>
        <v>0</v>
      </c>
      <c r="J38" s="101"/>
      <c r="K38" s="101"/>
    </row>
    <row r="39" spans="1:11" s="2" customFormat="1" ht="18" customHeight="1">
      <c r="A39" s="88" t="s">
        <v>9</v>
      </c>
      <c r="B39" s="89"/>
      <c r="C39" s="140">
        <f>B42</f>
        <v>0</v>
      </c>
      <c r="D39" s="141"/>
      <c r="E39" s="141"/>
      <c r="F39" s="146">
        <f>C42</f>
        <v>0</v>
      </c>
      <c r="G39" s="141"/>
      <c r="H39" s="147"/>
      <c r="I39" s="102">
        <f>D42</f>
        <v>0</v>
      </c>
      <c r="J39" s="102"/>
      <c r="K39" s="102"/>
    </row>
    <row r="40" spans="1:11" s="2" customFormat="1" ht="18" customHeight="1" thickBot="1">
      <c r="A40" s="90" t="s">
        <v>10</v>
      </c>
      <c r="B40" s="91"/>
      <c r="C40" s="142">
        <f>B43</f>
        <v>0</v>
      </c>
      <c r="D40" s="143"/>
      <c r="E40" s="143"/>
      <c r="F40" s="148">
        <f>C43</f>
        <v>0</v>
      </c>
      <c r="G40" s="143"/>
      <c r="H40" s="149"/>
      <c r="I40" s="137">
        <f>D43</f>
        <v>0</v>
      </c>
      <c r="J40" s="137"/>
      <c r="K40" s="137"/>
    </row>
    <row r="41" spans="1:11" s="2" customFormat="1" ht="15" hidden="1" customHeight="1">
      <c r="A41" s="19"/>
      <c r="B41" s="44">
        <v>0</v>
      </c>
      <c r="C41" s="44">
        <v>0</v>
      </c>
      <c r="D41" s="44">
        <v>0</v>
      </c>
      <c r="E41" s="14"/>
      <c r="F41" s="14"/>
      <c r="G41" s="14"/>
      <c r="H41" s="14"/>
      <c r="I41" s="14"/>
      <c r="J41" s="22"/>
      <c r="K41" s="22"/>
    </row>
    <row r="42" spans="1:11" s="2" customFormat="1" ht="15" hidden="1" customHeight="1">
      <c r="A42" s="19"/>
      <c r="B42" s="44">
        <v>0</v>
      </c>
      <c r="C42" s="44">
        <v>0</v>
      </c>
      <c r="D42" s="44">
        <v>0</v>
      </c>
      <c r="E42" s="14"/>
      <c r="F42" s="14"/>
      <c r="G42" s="14"/>
      <c r="H42" s="14"/>
      <c r="I42" s="14"/>
      <c r="J42" s="22"/>
      <c r="K42" s="22"/>
    </row>
    <row r="43" spans="1:11" s="2" customFormat="1" ht="15" hidden="1" customHeight="1">
      <c r="A43" s="19"/>
      <c r="B43" s="44">
        <v>0</v>
      </c>
      <c r="C43" s="44">
        <v>0</v>
      </c>
      <c r="D43" s="44">
        <v>0</v>
      </c>
      <c r="E43" s="14"/>
      <c r="F43" s="14"/>
      <c r="G43" s="14"/>
      <c r="H43" s="14"/>
      <c r="I43" s="14"/>
      <c r="J43" s="22"/>
      <c r="K43" s="22"/>
    </row>
    <row r="44" spans="1:11" s="2" customFormat="1" ht="18" customHeight="1" thickBot="1">
      <c r="A44" s="24" t="s">
        <v>11</v>
      </c>
      <c r="B44" s="16"/>
      <c r="C44" s="16"/>
      <c r="D44" s="14"/>
      <c r="E44" s="14"/>
      <c r="F44" s="15"/>
      <c r="G44" s="15"/>
      <c r="H44" s="15"/>
      <c r="I44" s="15"/>
      <c r="J44" s="15"/>
      <c r="K44" s="15"/>
    </row>
    <row r="45" spans="1:11" s="2" customFormat="1" ht="33.75" customHeight="1" thickBot="1">
      <c r="A45" s="93" t="s">
        <v>19</v>
      </c>
      <c r="B45" s="93"/>
      <c r="C45" s="94"/>
      <c r="D45" s="33" t="str">
        <f t="shared" ref="D45:K45" si="0">D25</f>
        <v>總          計</v>
      </c>
      <c r="E45" s="31" t="str">
        <f t="shared" si="0"/>
        <v>磚　　構　　造</v>
      </c>
      <c r="F45" s="31" t="str">
        <f t="shared" si="0"/>
        <v>木　　構　　造</v>
      </c>
      <c r="G45" s="32" t="str">
        <f t="shared" si="0"/>
        <v>鋼　　構　　造</v>
      </c>
      <c r="H45" s="32" t="str">
        <f t="shared" si="0"/>
        <v>混凝土(含鋼筋
混泥土)構造</v>
      </c>
      <c r="I45" s="32" t="str">
        <f t="shared" si="0"/>
        <v>鋼骨鋼筋混
凝土構造</v>
      </c>
      <c r="J45" s="32" t="str">
        <f t="shared" si="0"/>
        <v>冷軋型鋼構造</v>
      </c>
      <c r="K45" s="27" t="str">
        <f t="shared" si="0"/>
        <v>其          他</v>
      </c>
    </row>
    <row r="46" spans="1:11" s="2" customFormat="1" ht="18" customHeight="1">
      <c r="A46" s="95" t="s">
        <v>12</v>
      </c>
      <c r="B46" s="95"/>
      <c r="C46" s="96"/>
      <c r="D46" s="35">
        <v>0</v>
      </c>
      <c r="E46" s="36">
        <v>0</v>
      </c>
      <c r="F46" s="36">
        <v>0</v>
      </c>
      <c r="G46" s="36">
        <v>0</v>
      </c>
      <c r="H46" s="36">
        <v>0</v>
      </c>
      <c r="I46" s="36">
        <v>0</v>
      </c>
      <c r="J46" s="36">
        <v>0</v>
      </c>
      <c r="K46" s="37">
        <v>0</v>
      </c>
    </row>
    <row r="47" spans="1:11" s="2" customFormat="1" ht="18" customHeight="1">
      <c r="A47" s="88" t="s">
        <v>13</v>
      </c>
      <c r="B47" s="88"/>
      <c r="C47" s="89"/>
      <c r="D47" s="38">
        <v>0</v>
      </c>
      <c r="E47" s="39">
        <v>0</v>
      </c>
      <c r="F47" s="39">
        <v>0</v>
      </c>
      <c r="G47" s="39">
        <v>0</v>
      </c>
      <c r="H47" s="39">
        <v>0</v>
      </c>
      <c r="I47" s="39">
        <v>0</v>
      </c>
      <c r="J47" s="39">
        <v>0</v>
      </c>
      <c r="K47" s="40">
        <v>0</v>
      </c>
    </row>
    <row r="48" spans="1:11" s="2" customFormat="1" ht="18" customHeight="1" thickBot="1">
      <c r="A48" s="90" t="s">
        <v>14</v>
      </c>
      <c r="B48" s="90"/>
      <c r="C48" s="91"/>
      <c r="D48" s="41">
        <v>0</v>
      </c>
      <c r="E48" s="42">
        <v>0</v>
      </c>
      <c r="F48" s="42">
        <v>0</v>
      </c>
      <c r="G48" s="42">
        <v>0</v>
      </c>
      <c r="H48" s="42">
        <v>0</v>
      </c>
      <c r="I48" s="42">
        <v>0</v>
      </c>
      <c r="J48" s="42">
        <v>0</v>
      </c>
      <c r="K48" s="43">
        <v>0</v>
      </c>
    </row>
    <row r="49" spans="1:11" s="2" customFormat="1" ht="15" hidden="1" customHeight="1">
      <c r="A49" s="23"/>
      <c r="B49" s="23"/>
      <c r="C49" s="23"/>
      <c r="D49" s="21"/>
      <c r="E49" s="21"/>
      <c r="F49" s="21"/>
      <c r="G49" s="20"/>
      <c r="H49" s="20"/>
      <c r="I49" s="20"/>
      <c r="J49" s="20"/>
      <c r="K49" s="20"/>
    </row>
    <row r="50" spans="1:11" s="2" customFormat="1" ht="15" hidden="1" customHeight="1">
      <c r="A50" s="23"/>
      <c r="B50" s="23"/>
      <c r="C50" s="23"/>
      <c r="D50" s="21"/>
      <c r="E50" s="21"/>
      <c r="F50" s="21"/>
      <c r="G50" s="20"/>
      <c r="H50" s="20"/>
      <c r="I50" s="20"/>
      <c r="J50" s="20"/>
      <c r="K50" s="20"/>
    </row>
    <row r="51" spans="1:11" s="2" customFormat="1" ht="15" hidden="1" customHeight="1">
      <c r="A51" s="23"/>
      <c r="B51" s="23"/>
      <c r="C51" s="23"/>
      <c r="D51" s="21"/>
      <c r="E51" s="21"/>
      <c r="F51" s="21"/>
      <c r="G51" s="20"/>
      <c r="H51" s="20"/>
      <c r="I51" s="20"/>
      <c r="J51" s="20"/>
      <c r="K51" s="20"/>
    </row>
    <row r="52" spans="1:11" s="2" customFormat="1" ht="44.25" customHeight="1">
      <c r="A52" s="87" t="str">
        <f>IF(LEN(A2)&gt;0,"填表　　　　　　　　　　　　　　　　　審核　　　　　　　　　　　　　　　　　業務主管人員　　　　　　　　　　　　　　　　　機關首長
　　　　　　　　　　　　　　　　　　　　　　　　　　　　　　　　　　　　　　主辦統計人員","")</f>
        <v>填表　　　　　　　　　　　　　　　　　審核　　　　　　　　　　　　　　　　　業務主管人員　　　　　　　　　　　　　　　　　機關首長
　　　　　　　　　　　　　　　　　　　　　　　　　　　　　　　　　　　　　　主辦統計人員</v>
      </c>
      <c r="B52" s="87"/>
      <c r="C52" s="87"/>
      <c r="D52" s="87"/>
      <c r="E52" s="87"/>
      <c r="F52" s="87"/>
      <c r="G52" s="87"/>
      <c r="H52" s="87"/>
      <c r="I52" s="87"/>
      <c r="J52" s="87"/>
      <c r="K52" s="87"/>
    </row>
    <row r="53" spans="1:11" s="4" customFormat="1" ht="18" customHeight="1">
      <c r="A53" s="92" t="str">
        <f>IF(LEN(A2)&gt;0,"資料來源："&amp;A2,"")</f>
        <v>資料來源：依據本機關核發建築物建造執照資料彙編。</v>
      </c>
      <c r="B53" s="92"/>
      <c r="C53" s="92"/>
      <c r="D53" s="92"/>
      <c r="E53" s="92"/>
      <c r="F53" s="92"/>
      <c r="G53" s="92"/>
      <c r="H53" s="92"/>
      <c r="I53" s="92"/>
      <c r="J53" s="92"/>
      <c r="K53" s="92"/>
    </row>
    <row r="54" spans="1:11" ht="18" customHeight="1">
      <c r="A54" s="83" t="str">
        <f>IF(LEN(A2)&gt;0,"填表說明："&amp;C2,"")</f>
        <v>填表說明：本表編製2份，經陳核後，1份送主計(處)室，1份自存外，資料並經由網際網路報送內政部營建署統計資料庫。</v>
      </c>
      <c r="B54" s="83"/>
      <c r="C54" s="83"/>
      <c r="D54" s="83"/>
      <c r="E54" s="83"/>
      <c r="F54" s="83"/>
      <c r="G54" s="83"/>
      <c r="H54" s="83"/>
      <c r="I54" s="83"/>
      <c r="J54" s="83"/>
      <c r="K54" s="83"/>
    </row>
    <row r="55" spans="1:11" ht="18" customHeight="1"/>
    <row r="56" spans="1:11" ht="18" customHeight="1">
      <c r="A56" s="9"/>
      <c r="B56" s="11"/>
      <c r="C56" s="11"/>
      <c r="D56" s="11"/>
      <c r="E56" s="11"/>
      <c r="F56" s="11"/>
      <c r="G56" s="11"/>
      <c r="H56" s="11"/>
      <c r="I56" s="11"/>
      <c r="J56" s="11"/>
      <c r="K56" s="11"/>
    </row>
    <row r="61" spans="1:11" hidden="1"/>
    <row r="62" spans="1:11" hidden="1"/>
    <row r="63" spans="1:11" hidden="1"/>
    <row r="64" spans="1:11" hidden="1"/>
  </sheetData>
  <mergeCells count="56">
    <mergeCell ref="I40:K40"/>
    <mergeCell ref="A40:B40"/>
    <mergeCell ref="C38:E38"/>
    <mergeCell ref="C39:E39"/>
    <mergeCell ref="C40:E40"/>
    <mergeCell ref="F38:H38"/>
    <mergeCell ref="F39:H39"/>
    <mergeCell ref="F40:H40"/>
    <mergeCell ref="A23:D23"/>
    <mergeCell ref="A12:C12"/>
    <mergeCell ref="A13:C13"/>
    <mergeCell ref="A21:D21"/>
    <mergeCell ref="A22:D22"/>
    <mergeCell ref="E18:G18"/>
    <mergeCell ref="E19:E20"/>
    <mergeCell ref="A18:D20"/>
    <mergeCell ref="A9:C10"/>
    <mergeCell ref="A11:C11"/>
    <mergeCell ref="D9:D10"/>
    <mergeCell ref="E9:E10"/>
    <mergeCell ref="F9:F10"/>
    <mergeCell ref="G9:G10"/>
    <mergeCell ref="H9:H10"/>
    <mergeCell ref="I9:I10"/>
    <mergeCell ref="J9:J10"/>
    <mergeCell ref="K9:K10"/>
    <mergeCell ref="H18:H20"/>
    <mergeCell ref="I18:I20"/>
    <mergeCell ref="J19:K20"/>
    <mergeCell ref="A37:B37"/>
    <mergeCell ref="A38:B38"/>
    <mergeCell ref="A39:B39"/>
    <mergeCell ref="I37:K37"/>
    <mergeCell ref="F37:H37"/>
    <mergeCell ref="I38:K38"/>
    <mergeCell ref="I39:K39"/>
    <mergeCell ref="A29:C29"/>
    <mergeCell ref="A53:K53"/>
    <mergeCell ref="A25:C25"/>
    <mergeCell ref="A26:C26"/>
    <mergeCell ref="A27:C27"/>
    <mergeCell ref="A48:C48"/>
    <mergeCell ref="A45:C45"/>
    <mergeCell ref="A46:C46"/>
    <mergeCell ref="A47:C47"/>
    <mergeCell ref="C37:E37"/>
    <mergeCell ref="J21:K21"/>
    <mergeCell ref="J22:K22"/>
    <mergeCell ref="J23:K23"/>
    <mergeCell ref="A54:K54"/>
    <mergeCell ref="A3:D3"/>
    <mergeCell ref="A4:D4"/>
    <mergeCell ref="A5:K5"/>
    <mergeCell ref="A6:K6"/>
    <mergeCell ref="A52:K52"/>
    <mergeCell ref="A28:C28"/>
  </mergeCells>
  <phoneticPr fontId="3" type="noConversion"/>
  <pageMargins left="0.74803149606299213" right="0.74803149606299213" top="0.59055118110236227" bottom="0.59055118110236227" header="0.31496062992125984" footer="0.31496062992125984"/>
  <pageSetup paperSize="8" orientation="landscape" horizontalDpi="12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2</vt:i4>
      </vt:variant>
    </vt:vector>
  </HeadingPairs>
  <TitlesOfParts>
    <vt:vector size="3" baseType="lpstr">
      <vt:lpstr>2354-00-01</vt:lpstr>
      <vt:lpstr>pp</vt:lpstr>
      <vt:lpstr>'2354-00-01'!Print_Area</vt:lpstr>
    </vt:vector>
  </TitlesOfParts>
  <Company>金諄資訊(股)公司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金諄資訊(股)公司</dc:creator>
  <cp:lastModifiedBy>慶宇 孟</cp:lastModifiedBy>
  <cp:lastPrinted>2018-02-22T09:57:55Z</cp:lastPrinted>
  <dcterms:created xsi:type="dcterms:W3CDTF">2001-02-06T07:45:53Z</dcterms:created>
  <dcterms:modified xsi:type="dcterms:W3CDTF">2026-01-15T01:18:41Z</dcterms:modified>
</cp:coreProperties>
</file>